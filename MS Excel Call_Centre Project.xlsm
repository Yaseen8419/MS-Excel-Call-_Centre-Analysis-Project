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volix.co\Desktop\"/>
    </mc:Choice>
  </mc:AlternateContent>
  <xr:revisionPtr revIDLastSave="0" documentId="8_{B2F7E397-F255-4307-8F41-C159E3374700}" xr6:coauthVersionLast="36" xr6:coauthVersionMax="36" xr10:uidLastSave="{00000000-0000-0000-0000-000000000000}"/>
  <bookViews>
    <workbookView xWindow="0" yWindow="0" windowWidth="20490" windowHeight="7545" activeTab="4" xr2:uid="{6514CE15-1952-4BFF-97A2-234E4F786C09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Break!$A$1:$I$150</definedName>
    <definedName name="EData">Efficiency!$A$1:$Q$150</definedName>
    <definedName name="PData">'Overall Performance'!$A$1:$J$150</definedName>
  </definedNames>
  <calcPr calcId="191029"/>
  <pivotCaches>
    <pivotCache cacheId="8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150" i="4"/>
  <c r="A1" i="4"/>
  <c r="A2" i="4" l="1"/>
  <c r="A142" i="4"/>
  <c r="A143" i="4"/>
  <c r="A144" i="4"/>
  <c r="A145" i="4"/>
  <c r="A146" i="4"/>
  <c r="A147" i="4"/>
  <c r="A148" i="4"/>
  <c r="A149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3" i="4"/>
  <c r="A4" i="4"/>
  <c r="A5" i="4"/>
  <c r="A6" i="4"/>
  <c r="A7" i="4"/>
</calcChain>
</file>

<file path=xl/sharedStrings.xml><?xml version="1.0" encoding="utf-8"?>
<sst xmlns="http://schemas.openxmlformats.org/spreadsheetml/2006/main" count="2452" uniqueCount="1019">
  <si>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</si>
  <si>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</si>
  <si>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</si>
  <si>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</si>
  <si>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</si>
  <si>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</si>
  <si>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</si>
  <si>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</si>
  <si>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</si>
  <si>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</si>
  <si>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</si>
  <si>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</si>
  <si>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</si>
  <si>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</si>
  <si>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</si>
  <si>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</si>
  <si>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</si>
  <si>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</si>
  <si>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</si>
  <si>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</si>
  <si>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</si>
  <si>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</si>
  <si>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</si>
  <si>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</si>
  <si>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</si>
  <si>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</si>
  <si>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</si>
  <si>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</si>
  <si>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</si>
  <si>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</si>
  <si>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</si>
  <si>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</si>
  <si>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</si>
  <si>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</si>
  <si>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</si>
  <si>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</si>
  <si>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</si>
  <si>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</si>
  <si>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</si>
  <si>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</si>
  <si>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</si>
  <si>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</si>
  <si>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</si>
  <si>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</si>
  <si>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</si>
  <si>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</si>
  <si>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</si>
  <si>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</si>
  <si>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</si>
  <si>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</si>
  <si>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</si>
  <si>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</si>
  <si>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</si>
  <si>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</si>
  <si>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</si>
  <si>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</si>
  <si>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</si>
  <si>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</si>
  <si>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</si>
  <si>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</si>
  <si>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</si>
  <si>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</si>
  <si>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</si>
  <si>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</si>
  <si>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</si>
  <si>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</si>
  <si>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</si>
  <si>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</si>
  <si>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</si>
  <si>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</si>
  <si>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</si>
  <si>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</si>
  <si>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</si>
  <si>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</si>
  <si>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</si>
  <si>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</si>
  <si>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</si>
  <si>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</si>
  <si>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</si>
  <si>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</si>
  <si>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</si>
  <si>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</si>
  <si>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</si>
  <si>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</si>
  <si>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</si>
  <si>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</si>
  <si>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</si>
  <si>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</si>
  <si>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</si>
  <si>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</si>
  <si>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</si>
  <si>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</si>
  <si>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</si>
  <si>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</si>
  <si>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</si>
  <si>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</si>
  <si>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</si>
  <si>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</si>
  <si>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</si>
  <si>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</si>
  <si>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</si>
  <si>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</si>
  <si>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</si>
  <si>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</si>
  <si>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</si>
  <si>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</si>
  <si>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</si>
  <si>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</si>
  <si>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</si>
  <si>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</si>
  <si>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</si>
  <si>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</si>
  <si>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</si>
  <si>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</si>
  <si>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</si>
  <si>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</si>
  <si>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</si>
  <si>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</si>
  <si>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</si>
  <si>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</si>
  <si>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</si>
  <si>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</si>
  <si>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</si>
  <si>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</si>
  <si>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</si>
  <si>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</si>
  <si>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</si>
  <si>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</si>
  <si>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</si>
  <si>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</si>
  <si>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</si>
  <si>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</si>
  <si>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</si>
  <si>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</si>
  <si>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</si>
  <si>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</si>
  <si>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</si>
  <si>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</si>
  <si>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</si>
  <si>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</si>
  <si>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</si>
  <si>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</si>
  <si>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</si>
  <si>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</si>
  <si>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</si>
  <si>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</si>
  <si>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</si>
  <si>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</si>
  <si>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</si>
  <si>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</si>
  <si>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</si>
  <si>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</si>
  <si>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</si>
  <si>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</si>
  <si>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</si>
  <si>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</si>
  <si>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</si>
  <si>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</si>
  <si>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</si>
  <si>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</si>
  <si>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</si>
  <si>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</si>
  <si>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</si>
  <si>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</si>
  <si>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</si>
  <si>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</si>
  <si>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</si>
  <si>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</si>
  <si>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</si>
  <si>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</si>
  <si>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</si>
  <si>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</si>
  <si>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</si>
  <si>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</si>
  <si>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</si>
  <si>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</si>
  <si>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</si>
  <si>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</si>
  <si>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</si>
  <si>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</si>
  <si>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</si>
  <si>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</si>
  <si>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</si>
  <si>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</si>
  <si>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</si>
  <si>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</si>
  <si>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</si>
  <si>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</si>
  <si>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</si>
  <si>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</si>
  <si>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</si>
  <si>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</si>
  <si>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</si>
  <si>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</si>
  <si>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</si>
  <si>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</si>
  <si>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</si>
  <si>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</si>
  <si>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</si>
  <si>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</si>
  <si>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</si>
  <si>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</si>
  <si>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</si>
  <si>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</si>
  <si>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</si>
  <si>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</si>
  <si>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</si>
  <si>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</si>
  <si>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</si>
  <si>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</si>
  <si>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</si>
  <si>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</si>
  <si>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</si>
  <si>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</si>
  <si>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</si>
  <si>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</si>
  <si>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</si>
  <si>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</si>
  <si>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</si>
  <si>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</si>
  <si>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</si>
  <si>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</si>
  <si>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</si>
  <si>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</si>
  <si>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</si>
  <si>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</si>
  <si>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</si>
  <si>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</si>
  <si>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</si>
  <si>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</si>
  <si>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</si>
  <si>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</si>
  <si>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</si>
  <si>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</si>
  <si>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</si>
  <si>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</si>
  <si>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</si>
  <si>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</si>
  <si>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</si>
  <si>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</si>
  <si>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</si>
  <si>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</si>
  <si>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</si>
  <si>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</si>
  <si>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</si>
  <si>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</si>
  <si>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</si>
  <si>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</si>
  <si>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</si>
  <si>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</si>
  <si>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</si>
  <si>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</si>
  <si>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</si>
  <si>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</si>
  <si>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</si>
  <si>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</si>
  <si>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</si>
  <si>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</si>
  <si>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</si>
  <si>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</si>
  <si>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</si>
  <si>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</si>
  <si>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</si>
  <si>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</si>
  <si>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</si>
  <si>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</si>
  <si>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</si>
  <si>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</si>
  <si>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</si>
  <si>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</si>
  <si>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</si>
  <si>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</si>
  <si>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</si>
  <si>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</si>
  <si>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</si>
  <si>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</si>
  <si>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</si>
  <si>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</si>
  <si>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</si>
  <si>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</si>
  <si>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</si>
  <si>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</si>
  <si>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</si>
  <si>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</si>
  <si>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</si>
  <si>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</si>
  <si>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</si>
  <si>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</si>
  <si>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</si>
  <si>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</si>
  <si>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</si>
  <si>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</si>
  <si>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</si>
  <si>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</si>
  <si>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</si>
  <si>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</si>
  <si>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</si>
  <si>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</si>
  <si>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</si>
  <si>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</si>
  <si>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</si>
  <si>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</si>
  <si>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</si>
  <si>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</si>
  <si>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</si>
  <si>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</si>
  <si>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</si>
  <si>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</si>
  <si>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</si>
  <si>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</si>
  <si>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</si>
  <si>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</si>
  <si>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</si>
  <si>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</si>
  <si>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</si>
  <si>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</si>
  <si>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</si>
  <si>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</si>
  <si>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</si>
  <si>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</si>
  <si>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</si>
  <si>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</si>
  <si>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</si>
  <si>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</si>
  <si>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</si>
  <si>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</si>
  <si>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</si>
  <si>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</si>
  <si>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</si>
  <si>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</si>
  <si>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</si>
  <si>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</si>
  <si>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</si>
  <si>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</si>
  <si>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</si>
  <si>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</si>
  <si>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</si>
  <si>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</si>
  <si>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</si>
  <si>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</si>
  <si>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</si>
  <si>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</si>
  <si>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</si>
  <si>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</si>
  <si>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</si>
  <si>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</si>
  <si>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</si>
  <si>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</si>
  <si>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</si>
  <si>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</si>
  <si>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</si>
  <si>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</si>
  <si>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</si>
  <si>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</si>
  <si>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</si>
  <si>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</si>
  <si>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</si>
  <si>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</si>
  <si>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</si>
  <si>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</si>
  <si>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</si>
  <si>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</si>
  <si>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</si>
  <si>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</si>
  <si>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</si>
  <si>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</si>
  <si>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</si>
  <si>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</si>
  <si>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</si>
  <si>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</si>
  <si>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</si>
  <si>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</si>
  <si>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</si>
  <si>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</si>
  <si>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</si>
  <si>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</si>
  <si>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</si>
  <si>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</si>
  <si>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</si>
  <si>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</si>
  <si>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</si>
  <si>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</si>
  <si>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</si>
  <si>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</si>
  <si>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</si>
  <si>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</si>
  <si>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</si>
  <si>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</si>
  <si>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</si>
  <si>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</si>
  <si>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</si>
  <si>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</si>
  <si>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</si>
  <si>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</si>
  <si>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</si>
  <si>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</si>
  <si>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</si>
  <si>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</si>
  <si>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</si>
  <si>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</si>
  <si>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</si>
  <si>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</si>
  <si>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</si>
  <si>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</si>
  <si>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</si>
  <si>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</si>
  <si>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</si>
  <si>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</si>
  <si>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</si>
  <si>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</si>
  <si>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</si>
  <si>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</si>
  <si>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</si>
  <si>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</si>
  <si>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</si>
  <si>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</si>
  <si>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</si>
  <si>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</si>
  <si>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</si>
  <si>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</si>
  <si>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</si>
  <si>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</si>
  <si>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</si>
  <si>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</si>
  <si>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</si>
  <si>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</si>
  <si>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</si>
  <si>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</si>
  <si>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</si>
  <si>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</si>
  <si>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</si>
  <si>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</si>
  <si>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</si>
  <si>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</si>
  <si>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</si>
  <si>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</si>
  <si>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</si>
  <si>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</si>
  <si>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</si>
  <si>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</si>
  <si>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</si>
  <si>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</si>
  <si>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</si>
  <si>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</si>
  <si>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</si>
  <si>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</si>
  <si>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</si>
  <si>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</si>
  <si>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</si>
  <si>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</si>
  <si>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</si>
  <si>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</si>
  <si>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</si>
  <si>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</si>
  <si>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</si>
  <si>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</si>
  <si>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</si>
  <si>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</si>
  <si>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</si>
  <si>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</si>
  <si>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</si>
  <si>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</si>
  <si>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</si>
  <si>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</si>
  <si>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</si>
  <si>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</si>
  <si>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</si>
  <si>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</si>
  <si>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</si>
  <si>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</si>
  <si>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</si>
  <si>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</si>
  <si>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</si>
  <si>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</si>
  <si>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</si>
  <si>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</si>
  <si>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</si>
  <si>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</si>
  <si>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</si>
  <si>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</si>
  <si>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</si>
  <si>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</si>
  <si>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</si>
  <si>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</si>
  <si>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</si>
  <si>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</si>
  <si>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</si>
  <si>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</si>
  <si>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</si>
  <si>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</si>
  <si>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</si>
  <si>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</si>
  <si>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</si>
  <si>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</si>
  <si>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</si>
  <si>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</si>
  <si>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</si>
  <si>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</si>
  <si>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</si>
  <si>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</si>
  <si>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</si>
  <si>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</si>
  <si>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</si>
  <si>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</si>
  <si>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</si>
  <si>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</si>
  <si>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</si>
  <si>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</si>
  <si>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</si>
  <si>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</si>
  <si>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</si>
  <si>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</si>
  <si>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</si>
  <si>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</si>
  <si>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</si>
  <si>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</si>
  <si>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</si>
  <si>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</si>
  <si>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</si>
  <si>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</si>
  <si>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</si>
  <si>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</si>
  <si>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</si>
  <si>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</si>
  <si>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</si>
  <si>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</si>
  <si>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</si>
  <si>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</si>
  <si>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</si>
  <si>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</si>
  <si>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</si>
  <si>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</si>
  <si>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</si>
  <si>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</si>
  <si>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</si>
  <si>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</si>
  <si>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</si>
  <si>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</si>
  <si>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</si>
  <si>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</si>
  <si>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</si>
  <si>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</si>
  <si>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</si>
  <si>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</si>
  <si>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</si>
  <si>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</si>
  <si>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</si>
  <si>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</si>
  <si>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</si>
  <si>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</si>
  <si>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</si>
  <si>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</si>
  <si>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</si>
  <si>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</si>
  <si>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</si>
  <si>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</si>
  <si>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</si>
  <si>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</si>
  <si>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</si>
  <si>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</si>
  <si>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</si>
  <si>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</si>
  <si>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</si>
  <si>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</si>
  <si>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</si>
  <si>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</si>
  <si>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</si>
  <si>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</si>
  <si>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</si>
  <si>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</si>
  <si>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</si>
  <si>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</si>
  <si>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</si>
  <si>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</si>
  <si>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</si>
  <si>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</si>
  <si>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</si>
  <si>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</si>
  <si>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</si>
  <si>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</si>
  <si>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</si>
  <si>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</si>
  <si>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</si>
  <si>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</si>
  <si>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</si>
  <si>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</si>
  <si>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</si>
  <si>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</si>
  <si>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</si>
  <si>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</si>
  <si>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</si>
  <si>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</si>
  <si>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</si>
  <si>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</si>
  <si>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</si>
  <si>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</si>
  <si>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</si>
  <si>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</si>
  <si>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</si>
  <si>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</si>
  <si>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</si>
  <si>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</si>
  <si>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</si>
  <si>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</si>
  <si>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</si>
  <si>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</si>
  <si>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</si>
  <si>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</si>
  <si>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</si>
  <si>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</si>
  <si>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</si>
  <si>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</si>
  <si>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</si>
  <si>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</si>
  <si>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</si>
  <si>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</si>
  <si>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</si>
  <si>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</si>
  <si>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</si>
  <si>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</si>
  <si>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</si>
  <si>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</si>
  <si>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</si>
  <si>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</si>
  <si>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</si>
  <si>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</si>
  <si>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</si>
  <si>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</si>
  <si>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</si>
  <si>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</si>
  <si>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</si>
  <si>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</si>
  <si>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</si>
  <si>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</si>
  <si>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</si>
  <si>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</si>
  <si>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</si>
  <si>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</si>
  <si>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</si>
  <si>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</si>
  <si>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</si>
  <si>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</si>
  <si>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</si>
  <si>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</si>
  <si>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</si>
  <si>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</si>
  <si>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</si>
  <si>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</si>
  <si>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</si>
  <si>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</si>
  <si>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</si>
  <si>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</si>
  <si>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</si>
  <si>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</si>
  <si>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</si>
  <si>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</si>
  <si>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</si>
  <si>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</si>
  <si>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</si>
  <si>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</si>
  <si>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</si>
  <si>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</si>
  <si>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</si>
  <si>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</si>
  <si>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</si>
  <si>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</si>
  <si>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</si>
  <si>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</si>
  <si>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</si>
  <si>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</si>
  <si>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</si>
  <si>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</si>
  <si>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</si>
  <si>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</si>
  <si>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</si>
  <si>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</si>
  <si>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</si>
  <si>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</si>
  <si>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</si>
  <si>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</si>
  <si>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</si>
  <si>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</si>
  <si>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</si>
  <si>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</si>
  <si>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</si>
  <si>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</si>
  <si>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</si>
  <si>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</si>
  <si>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</si>
  <si>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</si>
  <si>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</si>
  <si>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</si>
  <si>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</si>
  <si>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</si>
  <si>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</si>
  <si>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</si>
  <si>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</si>
  <si>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</si>
  <si>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</si>
  <si>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</si>
  <si>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</si>
  <si>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</si>
  <si>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</si>
  <si>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</si>
  <si>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</si>
  <si>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</si>
  <si>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</si>
  <si>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</si>
  <si>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</si>
  <si>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</si>
  <si>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</si>
  <si>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</si>
  <si>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</si>
  <si>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</si>
  <si>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</si>
  <si>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</si>
  <si>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</si>
  <si>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</si>
  <si>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</si>
  <si>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</si>
  <si>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</si>
  <si>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</si>
  <si>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</si>
  <si>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</si>
  <si>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</si>
  <si>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</si>
  <si>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</si>
  <si>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</si>
  <si>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</si>
  <si>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</si>
  <si>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</si>
  <si>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</si>
  <si>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</si>
  <si>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</si>
  <si>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</si>
  <si>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</si>
  <si>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</si>
  <si>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</si>
  <si>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</si>
  <si>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</si>
  <si>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</si>
  <si>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</si>
  <si>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</si>
  <si>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</si>
  <si>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</si>
  <si>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</si>
  <si>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</si>
  <si>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</si>
  <si>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</si>
  <si>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</si>
  <si>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</si>
  <si>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</si>
  <si>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</si>
  <si>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</si>
  <si>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</si>
  <si>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</si>
  <si>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</si>
  <si>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</si>
  <si>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</si>
  <si>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</si>
  <si>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</si>
  <si>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</si>
  <si>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</si>
  <si>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</si>
  <si>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</si>
  <si>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</si>
  <si>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</si>
  <si>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</si>
  <si>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</si>
  <si>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</si>
  <si>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</si>
  <si>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</si>
  <si>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</si>
  <si>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</si>
  <si>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</si>
  <si>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</si>
  <si>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</si>
  <si>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</si>
  <si>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</si>
  <si>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</si>
  <si>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</si>
  <si>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</si>
  <si>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</si>
  <si>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</si>
  <si>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</si>
  <si>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</si>
  <si>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</si>
  <si>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</si>
  <si>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</si>
  <si>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</si>
  <si>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</si>
  <si>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</si>
  <si>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</si>
  <si>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</si>
  <si>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</si>
  <si>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</si>
  <si>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</si>
  <si>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</si>
  <si>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</si>
  <si>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</si>
  <si>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</si>
  <si>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</si>
  <si>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</si>
  <si>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</si>
  <si>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</si>
  <si>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</si>
  <si>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</si>
  <si>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</si>
  <si>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</si>
  <si>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</si>
  <si>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</si>
  <si>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</si>
  <si>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</si>
  <si>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</si>
  <si>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</si>
  <si>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</si>
  <si>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</si>
  <si>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</si>
  <si>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</si>
  <si>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</si>
  <si>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</si>
  <si>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</si>
  <si>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</si>
  <si>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</si>
  <si>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</si>
  <si>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</si>
  <si>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</si>
  <si>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</si>
  <si>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</si>
  <si>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</si>
  <si>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</si>
  <si>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</si>
  <si>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</si>
  <si>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</si>
  <si>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</si>
  <si>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</si>
  <si>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</si>
  <si>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</si>
  <si>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</si>
  <si>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</si>
  <si>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</si>
  <si>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</si>
  <si>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</si>
  <si>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</si>
  <si>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</si>
  <si>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</si>
  <si>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</si>
  <si>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</si>
  <si>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</si>
  <si>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</si>
  <si>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</si>
  <si>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</si>
  <si>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</si>
  <si>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</si>
  <si>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</si>
  <si>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</si>
  <si>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</si>
  <si>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</si>
  <si>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</si>
  <si>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</si>
  <si>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</si>
  <si>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</si>
  <si>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</si>
  <si>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</si>
  <si>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</si>
  <si>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</si>
  <si>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</si>
  <si>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</si>
  <si>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</si>
  <si>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</si>
  <si>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</si>
  <si>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</si>
  <si>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</si>
  <si>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</si>
  <si>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</si>
  <si>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</si>
  <si>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</si>
  <si>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</si>
  <si>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</si>
  <si>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</si>
  <si>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</si>
  <si>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</si>
  <si>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</si>
  <si>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</si>
  <si>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</si>
  <si>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</si>
  <si>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</si>
  <si>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</si>
  <si>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</si>
  <si>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</si>
  <si>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</si>
  <si>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</si>
  <si>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</si>
  <si>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</si>
  <si>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</si>
  <si>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</si>
  <si>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</si>
  <si>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</si>
  <si>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</si>
  <si>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</si>
  <si>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</si>
  <si>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</si>
  <si>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</si>
  <si>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</si>
  <si>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</si>
  <si>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</si>
  <si>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</si>
  <si>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</si>
  <si>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</si>
  <si>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</si>
  <si>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</si>
  <si>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</si>
  <si>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</si>
  <si>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</si>
  <si>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</si>
  <si>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</si>
  <si>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</si>
  <si>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</si>
  <si>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</si>
  <si>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</si>
  <si>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</si>
  <si>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</si>
  <si>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</si>
  <si>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</si>
  <si>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</si>
  <si>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</si>
  <si>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</si>
  <si>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</si>
  <si>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</si>
  <si>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</si>
  <si>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</si>
  <si>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</si>
  <si>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</si>
  <si>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</si>
  <si>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</si>
  <si>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</si>
  <si>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</si>
  <si>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</si>
  <si>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</si>
  <si>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</si>
  <si>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</si>
  <si>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</si>
  <si>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</si>
  <si>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</si>
  <si>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</si>
  <si>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</si>
  <si>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</si>
  <si>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</si>
  <si>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</si>
  <si>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</si>
  <si>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</si>
  <si>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</si>
  <si>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</si>
  <si>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</si>
  <si>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</si>
  <si>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</si>
  <si>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</si>
  <si>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</si>
  <si>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</si>
  <si>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</si>
  <si>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</si>
  <si>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</si>
  <si>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</si>
  <si>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</si>
  <si>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</si>
  <si>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</si>
  <si>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</si>
  <si>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</si>
  <si>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</si>
  <si>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</si>
  <si>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</si>
  <si>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</si>
  <si>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</si>
  <si>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</si>
  <si>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</si>
  <si>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</si>
  <si>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</si>
  <si>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</si>
  <si>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</si>
  <si>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</si>
  <si>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</si>
  <si>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</si>
  <si>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</si>
  <si>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</si>
  <si>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</si>
  <si>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</si>
  <si>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</si>
  <si>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</si>
  <si>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</si>
  <si>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</si>
  <si>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</si>
  <si>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</si>
  <si>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</si>
  <si>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</si>
  <si>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</si>
  <si>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</si>
  <si>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</si>
  <si>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</si>
  <si>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</si>
  <si>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</si>
  <si>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</si>
  <si>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</si>
  <si>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</si>
  <si>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</si>
  <si>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Anita Dixit</t>
  </si>
  <si>
    <t>Anjali Deoram</t>
  </si>
  <si>
    <t>Ashok Kumar</t>
  </si>
  <si>
    <t>Deepak Kumar</t>
  </si>
  <si>
    <t>Kamini Kumar</t>
  </si>
  <si>
    <t>Kavita Sharma</t>
  </si>
  <si>
    <t>Manoj Kumar</t>
  </si>
  <si>
    <t>Rajesh Kumar</t>
  </si>
  <si>
    <t>Santosh Kumar</t>
  </si>
  <si>
    <t>Sheena Joseph</t>
  </si>
  <si>
    <t>Sunil Kumar</t>
  </si>
  <si>
    <t>Tahira Qureshi</t>
  </si>
  <si>
    <t>Total Number of woking hours by Emp</t>
  </si>
  <si>
    <t>Report 1 : Working Hours</t>
  </si>
  <si>
    <t>Sum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</si>
</sst>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8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49" fontId="3" fillId="2" borderId="1" xfId="0" applyNumberFormat="1" applyFont="1" applyFill="1" applyBorder="1" applyAlignment="1">
      <alignment horizontal="center" vertical="top"/>
    </xf>
    <xf numFmtId="0" fontId="4" fillId="0" borderId="0" xfId="0" applyFont="1"/>
    <xf numFmtId="49" fontId="5" fillId="0" borderId="2" xfId="0" applyNumberFormat="1" applyFont="1" applyBorder="1" applyAlignment="1">
      <alignment horizontal="right" vertical="top" wrapText="1"/>
    </xf>
    <xf numFmtId="49" fontId="3" fillId="2" borderId="1" xfId="0" applyNumberFormat="1" applyFont="1" applyFill="1" applyBorder="1" applyAlignment="1">
      <alignment horizontal="center" vertical="top" wrapText="1"/>
    </xf>
    <xf numFmtId="3" fontId="5" fillId="0" borderId="2" xfId="0" applyNumberFormat="1" applyFont="1" applyFill="1" applyBorder="1" applyAlignment="1">
      <alignment horizontal="right" vertical="top" wrapText="1"/>
    </xf>
    <xf numFmtId="164" fontId="5" fillId="0" borderId="2" xfId="0" applyNumberFormat="1" applyFont="1" applyBorder="1" applyAlignment="1">
      <alignment horizontal="right" vertical="top" wrapText="1"/>
    </xf>
    <xf numFmtId="3" fontId="5" fillId="0" borderId="2" xfId="0" applyNumberFormat="1" applyFont="1" applyBorder="1" applyAlignment="1">
      <alignment horizontal="right" vertical="top" wrapText="1"/>
    </xf>
    <xf numFmtId="164" fontId="5" fillId="0" borderId="2" xfId="0" applyNumberFormat="1" applyFont="1" applyFill="1" applyBorder="1" applyAlignment="1">
      <alignment horizontal="right" vertical="top" wrapText="1"/>
    </xf>
    <xf numFmtId="49" fontId="5" fillId="0" borderId="2" xfId="0" applyNumberFormat="1" applyFont="1" applyFill="1" applyBorder="1" applyAlignment="1">
      <alignment horizontal="right" vertical="top" wrapText="1"/>
    </xf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 wrapText="1"/>
    </xf>
    <xf numFmtId="165" fontId="2" fillId="3" borderId="3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165" fontId="6" fillId="3" borderId="1" xfId="0" applyNumberFormat="1" applyFont="1" applyFill="1" applyBorder="1" applyAlignment="1">
      <alignment horizontal="center" vertical="center" wrapText="1"/>
    </xf>
    <xf numFmtId="9" fontId="6" fillId="3" borderId="1" xfId="1" applyFont="1" applyFill="1" applyBorder="1" applyAlignment="1">
      <alignment horizontal="center" vertical="center" wrapText="1"/>
    </xf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7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5" borderId="0" xfId="0" applyFill="1"/>
    <xf numFmtId="0" fontId="8" fillId="5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MIS Project_2.xlsm]Dashboard!PivotTable1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9329652758922378E-2"/>
          <c:y val="0.1275882619935666"/>
          <c:w val="0.93888888888888888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Dashboard!$A$5:$A$12</c:f>
              <c:strCache>
                <c:ptCount val="8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</c:strCache>
            </c:strRef>
          </c:cat>
          <c:val>
            <c:numRef>
              <c:f>Dashboard!$B$5:$B$12</c:f>
              <c:numCache>
                <c:formatCode>[$-F400]h:mm:ss\ am/pm</c:formatCode>
                <c:ptCount val="8"/>
                <c:pt idx="0">
                  <c:v>0.38646990740740739</c:v>
                </c:pt>
                <c:pt idx="1">
                  <c:v>1.3668402777777777</c:v>
                </c:pt>
                <c:pt idx="2">
                  <c:v>0.66396990740740736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98-4DE8-8C1B-171B4D22F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747984"/>
        <c:axId val="583745152"/>
      </c:barChart>
      <c:catAx>
        <c:axId val="57774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583745152"/>
        <c:crosses val="autoZero"/>
        <c:auto val="1"/>
        <c:lblAlgn val="ctr"/>
        <c:lblOffset val="100"/>
        <c:noMultiLvlLbl val="0"/>
      </c:catAx>
      <c:valAx>
        <c:axId val="583745152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7774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MIS Project_2.xlsm]Dashboard!PivotTable1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9329652758922378E-2"/>
          <c:y val="0.1275882619935666"/>
          <c:w val="0.93888888888888888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Dashboard!$A$5:$A$12</c:f>
              <c:strCache>
                <c:ptCount val="8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</c:strCache>
            </c:strRef>
          </c:cat>
          <c:val>
            <c:numRef>
              <c:f>Dashboard!$B$5:$B$12</c:f>
              <c:numCache>
                <c:formatCode>[$-F400]h:mm:ss\ am/pm</c:formatCode>
                <c:ptCount val="8"/>
                <c:pt idx="0">
                  <c:v>0.38646990740740739</c:v>
                </c:pt>
                <c:pt idx="1">
                  <c:v>1.3668402777777777</c:v>
                </c:pt>
                <c:pt idx="2">
                  <c:v>0.66396990740740736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98-4DE8-8C1B-171B4D22F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747984"/>
        <c:axId val="583745152"/>
      </c:barChart>
      <c:catAx>
        <c:axId val="57774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583745152"/>
        <c:crosses val="autoZero"/>
        <c:auto val="1"/>
        <c:lblAlgn val="ctr"/>
        <c:lblOffset val="100"/>
        <c:noMultiLvlLbl val="0"/>
      </c:catAx>
      <c:valAx>
        <c:axId val="583745152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7774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MIS Project_2.xlsm]Dashboard!PivotTable1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PK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9329652758922378E-2"/>
          <c:y val="0.1275882619935666"/>
          <c:w val="0.93888888888888888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P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Dashboard!$A$5:$A$12</c:f>
              <c:strCache>
                <c:ptCount val="8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  <c:pt idx="7">
                  <c:v>Tahira Qureshi</c:v>
                </c:pt>
              </c:strCache>
            </c:strRef>
          </c:cat>
          <c:val>
            <c:numRef>
              <c:f>Dashboard!$B$5:$B$12</c:f>
              <c:numCache>
                <c:formatCode>[$-F400]h:mm:ss\ am/pm</c:formatCode>
                <c:ptCount val="8"/>
                <c:pt idx="0">
                  <c:v>0.38646990740740739</c:v>
                </c:pt>
                <c:pt idx="1">
                  <c:v>1.3668402777777777</c:v>
                </c:pt>
                <c:pt idx="2">
                  <c:v>0.66396990740740736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  <c:pt idx="7">
                  <c:v>0.36542824074074076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98-4DE8-8C1B-171B4D22F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7747984"/>
        <c:axId val="583745152"/>
      </c:barChart>
      <c:catAx>
        <c:axId val="57774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PK"/>
          </a:p>
        </c:txPr>
        <c:crossAx val="583745152"/>
        <c:crosses val="autoZero"/>
        <c:auto val="1"/>
        <c:lblAlgn val="ctr"/>
        <c:lblOffset val="100"/>
        <c:noMultiLvlLbl val="0"/>
      </c:catAx>
      <c:valAx>
        <c:axId val="583745152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7774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MIS Project_2.xlsm]Dashboard!PivotTable2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Dashboard!$F$4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Dashboard!$E$5:$E$13</c:f>
              <c:strCache>
                <c:ptCount val="9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Kamini Kumar</c:v>
                </c:pt>
                <c:pt idx="4">
                  <c:v>Kavita Sharma</c:v>
                </c:pt>
                <c:pt idx="5">
                  <c:v>Manoj Kumar</c:v>
                </c:pt>
                <c:pt idx="6">
                  <c:v>Rajesh Kumar</c:v>
                </c:pt>
                <c:pt idx="7">
                  <c:v>Santosh Kumar</c:v>
                </c:pt>
                <c:pt idx="8">
                  <c:v>Sunil Kumar</c:v>
                </c:pt>
              </c:strCache>
            </c:strRef>
          </c:cat>
          <c:val>
            <c:numRef>
              <c:f>Dashboard!$F$5:$F$13</c:f>
              <c:numCache>
                <c:formatCode>General</c:formatCode>
                <c:ptCount val="9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0.64380836602751801</c:v>
                </c:pt>
                <c:pt idx="4">
                  <c:v>0.64717479317021698</c:v>
                </c:pt>
                <c:pt idx="5">
                  <c:v>1.064298009533315</c:v>
                </c:pt>
                <c:pt idx="6">
                  <c:v>1.122824596941316</c:v>
                </c:pt>
                <c:pt idx="7">
                  <c:v>1.7236731368386569</c:v>
                </c:pt>
                <c:pt idx="8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D-49B1-95CF-D898410BD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P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P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C$1" max="200" min="1" page="10" val="8"/>
</file>

<file path=xl/ctrlProps/ctrlProp2.xml><?xml version="1.0" encoding="utf-8"?>
<formControlPr xmlns="http://schemas.microsoft.com/office/spreadsheetml/2009/9/main" objectType="Spin" dx="22" fmlaLink="$C$2" max="200" min="1" page="10" val="9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image" Target="../media/image7.png"/><Relationship Id="rId5" Type="http://schemas.openxmlformats.org/officeDocument/2006/relationships/chart" Target="../charts/chart3.xml"/><Relationship Id="rId10" Type="http://schemas.openxmlformats.org/officeDocument/2006/relationships/image" Target="../media/image6.png"/><Relationship Id="rId4" Type="http://schemas.openxmlformats.org/officeDocument/2006/relationships/chart" Target="../charts/chart2.xml"/><Relationship Id="rId9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0</xdr:row>
      <xdr:rowOff>47625</xdr:rowOff>
    </xdr:from>
    <xdr:to>
      <xdr:col>1</xdr:col>
      <xdr:colOff>1419225</xdr:colOff>
      <xdr:row>1</xdr:row>
      <xdr:rowOff>161924</xdr:rowOff>
    </xdr:to>
    <xdr:sp macro="" textlink="$C$1">
      <xdr:nvSpPr>
        <xdr:cNvPr id="9" name="Rectangle 8">
          <a:extLst>
            <a:ext uri="{FF2B5EF4-FFF2-40B4-BE49-F238E27FC236}">
              <a16:creationId xmlns:a16="http://schemas.microsoft.com/office/drawing/2014/main" id="{F8A35433-2A44-4307-AEF7-B83C944FE0C7}"/>
            </a:ext>
          </a:extLst>
        </xdr:cNvPr>
        <xdr:cNvSpPr/>
      </xdr:nvSpPr>
      <xdr:spPr>
        <a:xfrm>
          <a:off x="1552575" y="47625"/>
          <a:ext cx="819150" cy="30479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0FD6A121-123E-4061-8587-CDD93D933AA3}" type="TxLink">
            <a:rPr lang="en-US" sz="2000" b="0" i="0" u="none" strike="noStrike">
              <a:ln w="12700">
                <a:solidFill>
                  <a:schemeClr val="tx1"/>
                </a:solidFill>
              </a:ln>
              <a:solidFill>
                <a:srgbClr val="000000"/>
              </a:solidFill>
              <a:latin typeface="Arial Black" panose="020B0A04020102020204" pitchFamily="34" charset="0"/>
              <a:cs typeface="Calibri"/>
            </a:rPr>
            <a:pPr algn="r"/>
            <a:t>8</a:t>
          </a:fld>
          <a:endParaRPr lang="en-PK" sz="2000">
            <a:ln w="12700">
              <a:solidFill>
                <a:schemeClr val="tx1"/>
              </a:solidFill>
            </a:ln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9525</xdr:colOff>
      <xdr:row>0</xdr:row>
      <xdr:rowOff>38101</xdr:rowOff>
    </xdr:from>
    <xdr:to>
      <xdr:col>0</xdr:col>
      <xdr:colOff>923925</xdr:colOff>
      <xdr:row>1</xdr:row>
      <xdr:rowOff>171451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D3A5BC7C-930E-48D4-AD6C-5EACB8F57228}"/>
            </a:ext>
          </a:extLst>
        </xdr:cNvPr>
        <xdr:cNvSpPr/>
      </xdr:nvSpPr>
      <xdr:spPr>
        <a:xfrm>
          <a:off x="9525" y="38101"/>
          <a:ext cx="914400" cy="323850"/>
        </a:xfrm>
        <a:prstGeom prst="rightArrow">
          <a:avLst>
            <a:gd name="adj1" fmla="val 100000"/>
            <a:gd name="adj2" fmla="val 43611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  <a:endParaRPr lang="en-PK" sz="1100"/>
        </a:p>
      </xdr:txBody>
    </xdr:sp>
    <xdr:clientData/>
  </xdr:twoCellAnchor>
  <xdr:twoCellAnchor>
    <xdr:from>
      <xdr:col>0</xdr:col>
      <xdr:colOff>0</xdr:colOff>
      <xdr:row>9</xdr:row>
      <xdr:rowOff>19049</xdr:rowOff>
    </xdr:from>
    <xdr:to>
      <xdr:col>2</xdr:col>
      <xdr:colOff>0</xdr:colOff>
      <xdr:row>22</xdr:row>
      <xdr:rowOff>66674</xdr:rowOff>
    </xdr:to>
    <xdr:graphicFrame macro="">
      <xdr:nvGraphicFramePr>
        <xdr:cNvPr id="4" name="Chart 3" hidden="1">
          <a:extLst>
            <a:ext uri="{FF2B5EF4-FFF2-40B4-BE49-F238E27FC236}">
              <a16:creationId xmlns:a16="http://schemas.microsoft.com/office/drawing/2014/main" id="{D3B47201-28E4-4BA8-B088-488B636BAA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942976</xdr:colOff>
      <xdr:row>0</xdr:row>
      <xdr:rowOff>64732</xdr:rowOff>
    </xdr:from>
    <xdr:to>
      <xdr:col>1</xdr:col>
      <xdr:colOff>514350</xdr:colOff>
      <xdr:row>1</xdr:row>
      <xdr:rowOff>161849</xdr:rowOff>
    </xdr:to>
    <xdr:pic macro="[0]!Hide_Chart14">
      <xdr:nvPicPr>
        <xdr:cNvPr id="6" name="Picture 5" hidden="1">
          <a:extLst>
            <a:ext uri="{FF2B5EF4-FFF2-40B4-BE49-F238E27FC236}">
              <a16:creationId xmlns:a16="http://schemas.microsoft.com/office/drawing/2014/main" id="{4A66B893-CD11-4AC3-AD7C-81277057C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6" y="64732"/>
          <a:ext cx="523874" cy="287617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380999</xdr:colOff>
      <xdr:row>0</xdr:row>
      <xdr:rowOff>57150</xdr:rowOff>
    </xdr:from>
    <xdr:to>
      <xdr:col>1</xdr:col>
      <xdr:colOff>804119</xdr:colOff>
      <xdr:row>1</xdr:row>
      <xdr:rowOff>161850</xdr:rowOff>
    </xdr:to>
    <xdr:pic macro="[0]!Show_Chart3">
      <xdr:nvPicPr>
        <xdr:cNvPr id="8" name="Picture 7" hidden="1">
          <a:extLst>
            <a:ext uri="{FF2B5EF4-FFF2-40B4-BE49-F238E27FC236}">
              <a16:creationId xmlns:a16="http://schemas.microsoft.com/office/drawing/2014/main" id="{30A19E69-94D3-4199-837A-FA22B939B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499" y="57150"/>
          <a:ext cx="423120" cy="29520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0</xdr:row>
          <xdr:rowOff>66675</xdr:rowOff>
        </xdr:from>
        <xdr:to>
          <xdr:col>1</xdr:col>
          <xdr:colOff>828675</xdr:colOff>
          <xdr:row>1</xdr:row>
          <xdr:rowOff>133350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C4F4B66-3429-4651-BD26-525C4B899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1447800</xdr:colOff>
      <xdr:row>0</xdr:row>
      <xdr:rowOff>38100</xdr:rowOff>
    </xdr:from>
    <xdr:to>
      <xdr:col>1</xdr:col>
      <xdr:colOff>2343150</xdr:colOff>
      <xdr:row>1</xdr:row>
      <xdr:rowOff>171450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2A637AA5-237D-4F79-A5DA-2AD49D01BD1D}"/>
            </a:ext>
          </a:extLst>
        </xdr:cNvPr>
        <xdr:cNvSpPr/>
      </xdr:nvSpPr>
      <xdr:spPr>
        <a:xfrm flipH="1">
          <a:off x="2400300" y="38100"/>
          <a:ext cx="895350" cy="323850"/>
        </a:xfrm>
        <a:prstGeom prst="rightArrow">
          <a:avLst>
            <a:gd name="adj1" fmla="val 100000"/>
            <a:gd name="adj2" fmla="val 43611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  <a:endParaRPr lang="en-PK" sz="1100"/>
        </a:p>
      </xdr:txBody>
    </xdr:sp>
    <xdr:clientData/>
  </xdr:twoCellAnchor>
  <xdr:twoCellAnchor>
    <xdr:from>
      <xdr:col>0</xdr:col>
      <xdr:colOff>0</xdr:colOff>
      <xdr:row>9</xdr:row>
      <xdr:rowOff>28574</xdr:rowOff>
    </xdr:from>
    <xdr:to>
      <xdr:col>2</xdr:col>
      <xdr:colOff>0</xdr:colOff>
      <xdr:row>22</xdr:row>
      <xdr:rowOff>76199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716AE71-8AFF-4500-A7FE-DDCC02A26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9</xdr:row>
      <xdr:rowOff>0</xdr:rowOff>
    </xdr:from>
    <xdr:to>
      <xdr:col>2</xdr:col>
      <xdr:colOff>0</xdr:colOff>
      <xdr:row>22</xdr:row>
      <xdr:rowOff>9525</xdr:rowOff>
    </xdr:to>
    <xdr:graphicFrame macro="">
      <xdr:nvGraphicFramePr>
        <xdr:cNvPr id="15" name="Chart 14" hidden="1">
          <a:extLst>
            <a:ext uri="{FF2B5EF4-FFF2-40B4-BE49-F238E27FC236}">
              <a16:creationId xmlns:a16="http://schemas.microsoft.com/office/drawing/2014/main" id="{D6EA7F47-7E9E-4DEE-B081-D7A0C0B09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600075</xdr:colOff>
      <xdr:row>0</xdr:row>
      <xdr:rowOff>47625</xdr:rowOff>
    </xdr:from>
    <xdr:to>
      <xdr:col>5</xdr:col>
      <xdr:colOff>1419225</xdr:colOff>
      <xdr:row>1</xdr:row>
      <xdr:rowOff>161924</xdr:rowOff>
    </xdr:to>
    <xdr:sp macro="" textlink="$C$2">
      <xdr:nvSpPr>
        <xdr:cNvPr id="16" name="Rectangle 15">
          <a:extLst>
            <a:ext uri="{FF2B5EF4-FFF2-40B4-BE49-F238E27FC236}">
              <a16:creationId xmlns:a16="http://schemas.microsoft.com/office/drawing/2014/main" id="{89F2952D-DD49-473F-9F41-91875E7E12B7}"/>
            </a:ext>
          </a:extLst>
        </xdr:cNvPr>
        <xdr:cNvSpPr/>
      </xdr:nvSpPr>
      <xdr:spPr>
        <a:xfrm>
          <a:off x="1552575" y="47625"/>
          <a:ext cx="819150" cy="30479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1739A170-D610-4708-B059-5AB0FDC7C404}" type="TxLink">
            <a:rPr lang="en-US" sz="2000" b="0" i="0" u="none" strike="noStrike">
              <a:ln w="12700">
                <a:solidFill>
                  <a:schemeClr val="tx1"/>
                </a:solidFill>
              </a:ln>
              <a:solidFill>
                <a:srgbClr val="000000"/>
              </a:solidFill>
              <a:latin typeface="Arial Black" panose="020B0A04020102020204" pitchFamily="34" charset="0"/>
              <a:ea typeface="+mn-ea"/>
              <a:cs typeface="Calibri"/>
            </a:rPr>
            <a:pPr marL="0" indent="0" algn="r"/>
            <a:t>9</a:t>
          </a:fld>
          <a:endParaRPr lang="en-PK" sz="2000" b="0" i="0" u="none" strike="noStrike">
            <a:ln w="12700">
              <a:solidFill>
                <a:schemeClr val="tx1"/>
              </a:solidFill>
            </a:ln>
            <a:solidFill>
              <a:srgbClr val="000000"/>
            </a:solidFill>
            <a:latin typeface="Arial Black" panose="020B0A04020102020204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9525</xdr:colOff>
      <xdr:row>0</xdr:row>
      <xdr:rowOff>38101</xdr:rowOff>
    </xdr:from>
    <xdr:to>
      <xdr:col>4</xdr:col>
      <xdr:colOff>923925</xdr:colOff>
      <xdr:row>1</xdr:row>
      <xdr:rowOff>171451</xdr:rowOff>
    </xdr:to>
    <xdr:sp macro="" textlink="">
      <xdr:nvSpPr>
        <xdr:cNvPr id="17" name="Arrow: Right 16">
          <a:extLst>
            <a:ext uri="{FF2B5EF4-FFF2-40B4-BE49-F238E27FC236}">
              <a16:creationId xmlns:a16="http://schemas.microsoft.com/office/drawing/2014/main" id="{919079CE-A7AE-4DD0-AB4E-032D2B2F0C5A}"/>
            </a:ext>
          </a:extLst>
        </xdr:cNvPr>
        <xdr:cNvSpPr/>
      </xdr:nvSpPr>
      <xdr:spPr>
        <a:xfrm>
          <a:off x="9525" y="38101"/>
          <a:ext cx="914400" cy="323850"/>
        </a:xfrm>
        <a:prstGeom prst="rightArrow">
          <a:avLst>
            <a:gd name="adj1" fmla="val 100000"/>
            <a:gd name="adj2" fmla="val 43611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CHART</a:t>
          </a:r>
          <a:endParaRPr lang="en-PK" sz="1100"/>
        </a:p>
      </xdr:txBody>
    </xdr:sp>
    <xdr:clientData/>
  </xdr:twoCellAnchor>
  <xdr:oneCellAnchor>
    <xdr:from>
      <xdr:col>5</xdr:col>
      <xdr:colOff>1</xdr:colOff>
      <xdr:row>0</xdr:row>
      <xdr:rowOff>85725</xdr:rowOff>
    </xdr:from>
    <xdr:ext cx="561974" cy="266624"/>
    <xdr:pic macro="[0]!Hide_Chart12">
      <xdr:nvPicPr>
        <xdr:cNvPr id="18" name="Picture 17">
          <a:extLst>
            <a:ext uri="{FF2B5EF4-FFF2-40B4-BE49-F238E27FC236}">
              <a16:creationId xmlns:a16="http://schemas.microsoft.com/office/drawing/2014/main" id="{266D284E-810E-48D0-8B61-491F2273D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1" y="85725"/>
          <a:ext cx="561974" cy="26662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xdr:oneCellAnchor>
    <xdr:from>
      <xdr:col>5</xdr:col>
      <xdr:colOff>380999</xdr:colOff>
      <xdr:row>0</xdr:row>
      <xdr:rowOff>57150</xdr:rowOff>
    </xdr:from>
    <xdr:ext cx="423120" cy="295200"/>
    <xdr:pic macro="[0]!Show_Chart3">
      <xdr:nvPicPr>
        <xdr:cNvPr id="19" name="Picture 18" hidden="1">
          <a:extLst>
            <a:ext uri="{FF2B5EF4-FFF2-40B4-BE49-F238E27FC236}">
              <a16:creationId xmlns:a16="http://schemas.microsoft.com/office/drawing/2014/main" id="{57E6E777-E65A-424F-AB0C-AECAD3EBD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499" y="57150"/>
          <a:ext cx="423120" cy="29520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0</xdr:row>
          <xdr:rowOff>66675</xdr:rowOff>
        </xdr:from>
        <xdr:to>
          <xdr:col>5</xdr:col>
          <xdr:colOff>819150</xdr:colOff>
          <xdr:row>1</xdr:row>
          <xdr:rowOff>133350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7D0C7E8-644D-4657-B2AE-A357D4324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1447800</xdr:colOff>
      <xdr:row>0</xdr:row>
      <xdr:rowOff>38100</xdr:rowOff>
    </xdr:from>
    <xdr:to>
      <xdr:col>5</xdr:col>
      <xdr:colOff>2343150</xdr:colOff>
      <xdr:row>1</xdr:row>
      <xdr:rowOff>171450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9A29517C-3E30-4636-AC81-09544D3B9565}"/>
            </a:ext>
          </a:extLst>
        </xdr:cNvPr>
        <xdr:cNvSpPr/>
      </xdr:nvSpPr>
      <xdr:spPr>
        <a:xfrm flipH="1">
          <a:off x="2400300" y="38100"/>
          <a:ext cx="895350" cy="323850"/>
        </a:xfrm>
        <a:prstGeom prst="rightArrow">
          <a:avLst>
            <a:gd name="adj1" fmla="val 100000"/>
            <a:gd name="adj2" fmla="val 43611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RECORDS</a:t>
          </a:r>
          <a:endParaRPr lang="en-PK" sz="1100"/>
        </a:p>
      </xdr:txBody>
    </xdr:sp>
    <xdr:clientData/>
  </xdr:twoCellAnchor>
  <xdr:oneCellAnchor>
    <xdr:from>
      <xdr:col>4</xdr:col>
      <xdr:colOff>942976</xdr:colOff>
      <xdr:row>0</xdr:row>
      <xdr:rowOff>66675</xdr:rowOff>
    </xdr:from>
    <xdr:ext cx="540000" cy="296266"/>
    <xdr:pic macro="[0]!Show_Chart3">
      <xdr:nvPicPr>
        <xdr:cNvPr id="22" name="Picture 21" hidden="1">
          <a:extLst>
            <a:ext uri="{FF2B5EF4-FFF2-40B4-BE49-F238E27FC236}">
              <a16:creationId xmlns:a16="http://schemas.microsoft.com/office/drawing/2014/main" id="{F52905EB-F6C0-4D8C-BCAE-030A19E35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976" y="66675"/>
          <a:ext cx="540000" cy="29626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xdr:twoCellAnchor editAs="oneCell">
    <xdr:from>
      <xdr:col>5</xdr:col>
      <xdr:colOff>9525</xdr:colOff>
      <xdr:row>0</xdr:row>
      <xdr:rowOff>66675</xdr:rowOff>
    </xdr:from>
    <xdr:to>
      <xdr:col>5</xdr:col>
      <xdr:colOff>571125</xdr:colOff>
      <xdr:row>1</xdr:row>
      <xdr:rowOff>184291</xdr:rowOff>
    </xdr:to>
    <xdr:pic macro="[0]!Show_Chart12">
      <xdr:nvPicPr>
        <xdr:cNvPr id="24" name="Picture 23" hidden="1">
          <a:extLst>
            <a:ext uri="{FF2B5EF4-FFF2-40B4-BE49-F238E27FC236}">
              <a16:creationId xmlns:a16="http://schemas.microsoft.com/office/drawing/2014/main" id="{C8D52C4F-5B45-4AEE-A60C-A3D04C9E1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5" y="66675"/>
          <a:ext cx="561600" cy="3081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>
    <xdr:from>
      <xdr:col>4</xdr:col>
      <xdr:colOff>14287</xdr:colOff>
      <xdr:row>8</xdr:row>
      <xdr:rowOff>190499</xdr:rowOff>
    </xdr:from>
    <xdr:to>
      <xdr:col>6</xdr:col>
      <xdr:colOff>9525</xdr:colOff>
      <xdr:row>22</xdr:row>
      <xdr:rowOff>19050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3481DC4-6608-451F-BCA2-484CCF20A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923925</xdr:colOff>
      <xdr:row>0</xdr:row>
      <xdr:rowOff>47625</xdr:rowOff>
    </xdr:from>
    <xdr:to>
      <xdr:col>1</xdr:col>
      <xdr:colOff>571500</xdr:colOff>
      <xdr:row>1</xdr:row>
      <xdr:rowOff>152400</xdr:rowOff>
    </xdr:to>
    <xdr:pic macro="[0]!Show_Chart13">
      <xdr:nvPicPr>
        <xdr:cNvPr id="25" name="Picture 24" hidden="1">
          <a:extLst>
            <a:ext uri="{FF2B5EF4-FFF2-40B4-BE49-F238E27FC236}">
              <a16:creationId xmlns:a16="http://schemas.microsoft.com/office/drawing/2014/main" id="{A666C173-267B-4F13-8EE8-C40715827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" y="47625"/>
          <a:ext cx="600075" cy="295275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933449</xdr:colOff>
      <xdr:row>0</xdr:row>
      <xdr:rowOff>47624</xdr:rowOff>
    </xdr:from>
    <xdr:to>
      <xdr:col>1</xdr:col>
      <xdr:colOff>561974</xdr:colOff>
      <xdr:row>1</xdr:row>
      <xdr:rowOff>152399</xdr:rowOff>
    </xdr:to>
    <xdr:pic macro="[0]!Hide_Chart13">
      <xdr:nvPicPr>
        <xdr:cNvPr id="27" name="Picture 26">
          <a:extLst>
            <a:ext uri="{FF2B5EF4-FFF2-40B4-BE49-F238E27FC236}">
              <a16:creationId xmlns:a16="http://schemas.microsoft.com/office/drawing/2014/main" id="{EDCBC2CB-ED06-46C8-8F8F-623A6F303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49" y="47624"/>
          <a:ext cx="581025" cy="295275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volix.co" refreshedDate="45850.43073310185" createdVersion="6" refreshedVersion="6" minRefreshableVersion="3" recordCount="149" xr:uid="{BBA230D0-B0EC-4527-BAD1-4336E5C83653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61FFBD-61B0-458B-B83D-1010FB072C94}" name="PivotTable2" cacheId="8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1">
  <location ref="E4:F13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9">
    <i>
      <x v="5"/>
    </i>
    <i>
      <x v="15"/>
    </i>
    <i>
      <x v="22"/>
    </i>
    <i>
      <x v="39"/>
    </i>
    <i>
      <x v="41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44" iMeasureFld="0">
      <autoFilter ref="A1">
        <filterColumn colId="0">
          <top10 val="9" filterVal="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032CF-2DD1-4233-A1D8-C9EC79535564}" name="PivotTable1" cacheId="8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 chartFormat="3">
  <location ref="A4:B12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8">
    <i>
      <x v="7"/>
    </i>
    <i>
      <x v="15"/>
    </i>
    <i>
      <x v="52"/>
    </i>
    <i>
      <x v="85"/>
    </i>
    <i>
      <x v="109"/>
    </i>
    <i>
      <x v="117"/>
    </i>
    <i>
      <x v="126"/>
    </i>
    <i>
      <x v="137"/>
    </i>
  </rowItems>
  <colItems count="1">
    <i/>
  </colItems>
  <dataFields count="1">
    <dataField name="Total Number of woking hours by Emp" fld="2" baseField="1" baseItem="0" numFmtId="165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90" iMeasureFld="0">
      <autoFilter ref="A1">
        <filterColumn colId="0">
          <top10 val="8" filterVal="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849A4-2A1B-4389-B4E5-5230C46AFCD3}">
  <sheetPr codeName="Sheet1"/>
  <dimension ref="A1:I150"/>
  <sheetViews>
    <sheetView topLeftCell="C1" zoomScale="145" zoomScaleNormal="145" workbookViewId="0">
      <selection activeCell="I1" sqref="I1:I1048576"/>
    </sheetView>
  </sheetViews>
  <sheetFormatPr defaultRowHeight="15" x14ac:dyDescent="0.25"/>
  <cols>
    <col min="1" max="1" width="31.7109375" bestFit="1" customWidth="1"/>
    <col min="2" max="2" width="15" customWidth="1"/>
    <col min="3" max="3" width="18.42578125" customWidth="1"/>
    <col min="4" max="4" width="16.42578125" customWidth="1"/>
    <col min="5" max="5" width="14.7109375" customWidth="1"/>
    <col min="6" max="6" width="14.5703125" customWidth="1"/>
    <col min="7" max="7" width="18.140625" customWidth="1"/>
    <col min="8" max="8" width="15.42578125" customWidth="1"/>
    <col min="9" max="9" width="20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25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25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25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25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25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25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25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25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25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25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25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25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25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25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25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25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25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25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25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25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25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25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25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25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25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25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25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25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25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25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25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25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25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25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25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25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25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25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25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25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25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25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25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25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25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25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25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25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25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25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25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25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25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25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25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25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25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25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25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25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25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25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25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25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25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25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25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25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25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25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25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25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25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25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25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25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25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25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25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25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25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25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25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25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25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25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25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25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25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25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25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25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25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25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25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25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25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25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25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25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25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25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25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25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25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25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25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25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25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25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25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25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25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25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25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25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25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25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25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25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25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25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25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25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25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25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25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25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25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25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25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25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25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25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25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25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25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25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25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25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25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25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25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25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25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25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25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25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42BA0-0A8E-4A0C-BDBA-C9027B0D69C0}">
  <sheetPr codeName="Sheet2"/>
  <dimension ref="A1:Q150"/>
  <sheetViews>
    <sheetView topLeftCell="B1" zoomScale="145" zoomScaleNormal="145" workbookViewId="0">
      <selection activeCell="C1" sqref="C1:C1048576"/>
    </sheetView>
  </sheetViews>
  <sheetFormatPr defaultRowHeight="15" x14ac:dyDescent="0.25"/>
  <cols>
    <col min="1" max="1" width="31.7109375" bestFit="1" customWidth="1"/>
    <col min="2" max="2" width="23.28515625" customWidth="1"/>
    <col min="3" max="3" width="19.42578125" customWidth="1"/>
    <col min="4" max="4" width="15.7109375" customWidth="1"/>
    <col min="5" max="5" width="29.85546875" customWidth="1"/>
    <col min="6" max="6" width="17.7109375" customWidth="1"/>
    <col min="7" max="7" width="15.28515625" customWidth="1"/>
    <col min="8" max="8" width="12.7109375" customWidth="1"/>
    <col min="9" max="9" width="15.5703125" customWidth="1"/>
    <col min="10" max="10" width="14.7109375" customWidth="1"/>
    <col min="11" max="11" width="18.140625" customWidth="1"/>
    <col min="12" max="12" width="15" customWidth="1"/>
    <col min="13" max="13" width="15.28515625" customWidth="1"/>
    <col min="14" max="14" width="11.5703125" customWidth="1"/>
    <col min="15" max="15" width="20.140625" customWidth="1"/>
    <col min="16" max="16" width="22.140625" customWidth="1"/>
    <col min="17" max="17" width="11.5703125" customWidth="1"/>
  </cols>
  <sheetData>
    <row r="1" spans="1:17" ht="20.25" customHeight="1" x14ac:dyDescent="0.25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25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 x14ac:dyDescent="0.25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 x14ac:dyDescent="0.25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 x14ac:dyDescent="0.25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 x14ac:dyDescent="0.25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 x14ac:dyDescent="0.25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 x14ac:dyDescent="0.25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 x14ac:dyDescent="0.25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 x14ac:dyDescent="0.25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 x14ac:dyDescent="0.25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 x14ac:dyDescent="0.25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 x14ac:dyDescent="0.25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 x14ac:dyDescent="0.25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 x14ac:dyDescent="0.25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 x14ac:dyDescent="0.25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 x14ac:dyDescent="0.25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 x14ac:dyDescent="0.25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 x14ac:dyDescent="0.25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 x14ac:dyDescent="0.25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 x14ac:dyDescent="0.25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 x14ac:dyDescent="0.25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 x14ac:dyDescent="0.25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 x14ac:dyDescent="0.25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 x14ac:dyDescent="0.25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 x14ac:dyDescent="0.25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 x14ac:dyDescent="0.25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 x14ac:dyDescent="0.25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 x14ac:dyDescent="0.25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 x14ac:dyDescent="0.25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 x14ac:dyDescent="0.25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 x14ac:dyDescent="0.25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 x14ac:dyDescent="0.25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 x14ac:dyDescent="0.25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 x14ac:dyDescent="0.25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 x14ac:dyDescent="0.25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 x14ac:dyDescent="0.25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 x14ac:dyDescent="0.25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 x14ac:dyDescent="0.25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 x14ac:dyDescent="0.25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 x14ac:dyDescent="0.25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 x14ac:dyDescent="0.25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 x14ac:dyDescent="0.25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 x14ac:dyDescent="0.25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 x14ac:dyDescent="0.25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 x14ac:dyDescent="0.25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 x14ac:dyDescent="0.25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 x14ac:dyDescent="0.25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 x14ac:dyDescent="0.25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 x14ac:dyDescent="0.25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 x14ac:dyDescent="0.25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 x14ac:dyDescent="0.25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 x14ac:dyDescent="0.25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 x14ac:dyDescent="0.25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 x14ac:dyDescent="0.25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 x14ac:dyDescent="0.25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 x14ac:dyDescent="0.25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 x14ac:dyDescent="0.25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 x14ac:dyDescent="0.25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 x14ac:dyDescent="0.25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 x14ac:dyDescent="0.25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 x14ac:dyDescent="0.25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 x14ac:dyDescent="0.25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 x14ac:dyDescent="0.25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 x14ac:dyDescent="0.25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 x14ac:dyDescent="0.25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 x14ac:dyDescent="0.25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 x14ac:dyDescent="0.25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 x14ac:dyDescent="0.25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 x14ac:dyDescent="0.25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 x14ac:dyDescent="0.25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 x14ac:dyDescent="0.25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 x14ac:dyDescent="0.25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 x14ac:dyDescent="0.25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 x14ac:dyDescent="0.25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 x14ac:dyDescent="0.25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 x14ac:dyDescent="0.25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 x14ac:dyDescent="0.25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 x14ac:dyDescent="0.25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 x14ac:dyDescent="0.25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 x14ac:dyDescent="0.25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 x14ac:dyDescent="0.25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 x14ac:dyDescent="0.25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 x14ac:dyDescent="0.25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 x14ac:dyDescent="0.25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 x14ac:dyDescent="0.25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 x14ac:dyDescent="0.25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 x14ac:dyDescent="0.25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 x14ac:dyDescent="0.25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 x14ac:dyDescent="0.25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 x14ac:dyDescent="0.25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 x14ac:dyDescent="0.25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 x14ac:dyDescent="0.25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 x14ac:dyDescent="0.25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 x14ac:dyDescent="0.25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25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 x14ac:dyDescent="0.25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 x14ac:dyDescent="0.25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5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 x14ac:dyDescent="0.25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 x14ac:dyDescent="0.25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 x14ac:dyDescent="0.25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 x14ac:dyDescent="0.25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 x14ac:dyDescent="0.25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 x14ac:dyDescent="0.25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 x14ac:dyDescent="0.25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 x14ac:dyDescent="0.25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25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 x14ac:dyDescent="0.25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 x14ac:dyDescent="0.25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 x14ac:dyDescent="0.25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 x14ac:dyDescent="0.25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 x14ac:dyDescent="0.25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 x14ac:dyDescent="0.25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 x14ac:dyDescent="0.25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 x14ac:dyDescent="0.25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 x14ac:dyDescent="0.25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 x14ac:dyDescent="0.25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 x14ac:dyDescent="0.25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 x14ac:dyDescent="0.25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 x14ac:dyDescent="0.25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 x14ac:dyDescent="0.25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 x14ac:dyDescent="0.25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 x14ac:dyDescent="0.25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 x14ac:dyDescent="0.25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 x14ac:dyDescent="0.25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 x14ac:dyDescent="0.25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 x14ac:dyDescent="0.25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 x14ac:dyDescent="0.25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 x14ac:dyDescent="0.25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5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 x14ac:dyDescent="0.25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 x14ac:dyDescent="0.25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 x14ac:dyDescent="0.25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 x14ac:dyDescent="0.25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 x14ac:dyDescent="0.25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 x14ac:dyDescent="0.25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 x14ac:dyDescent="0.25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 x14ac:dyDescent="0.25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 x14ac:dyDescent="0.25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 x14ac:dyDescent="0.25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 x14ac:dyDescent="0.25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 x14ac:dyDescent="0.25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 x14ac:dyDescent="0.25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 x14ac:dyDescent="0.25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 x14ac:dyDescent="0.25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 x14ac:dyDescent="0.25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 x14ac:dyDescent="0.25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 x14ac:dyDescent="0.25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 x14ac:dyDescent="0.25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82E6F-0E97-4BB8-B0A1-2574CDC05C95}">
  <sheetPr codeName="Sheet3"/>
  <dimension ref="A1:J150"/>
  <sheetViews>
    <sheetView zoomScale="145" zoomScaleNormal="145" workbookViewId="0">
      <selection activeCell="E15" sqref="E15"/>
    </sheetView>
  </sheetViews>
  <sheetFormatPr defaultRowHeight="15" x14ac:dyDescent="0.25"/>
  <cols>
    <col min="1" max="1" width="31.7109375" bestFit="1" customWidth="1"/>
    <col min="2" max="2" width="19" customWidth="1"/>
    <col min="3" max="3" width="16.5703125" customWidth="1"/>
    <col min="4" max="4" width="24.5703125" customWidth="1"/>
    <col min="5" max="5" width="16.42578125" customWidth="1"/>
    <col min="6" max="6" width="16.7109375" customWidth="1"/>
    <col min="7" max="7" width="25.7109375" customWidth="1"/>
    <col min="8" max="8" width="25.28515625" customWidth="1"/>
    <col min="9" max="9" width="29.5703125" customWidth="1"/>
    <col min="10" max="10" width="23" customWidth="1"/>
  </cols>
  <sheetData>
    <row r="1" spans="1:10" ht="20.25" customHeight="1" x14ac:dyDescent="0.25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25">
      <c r="A2" s="2" t="s">
        <v>9</v>
      </c>
      <c r="B2" s="5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909</v>
      </c>
      <c r="I2" s="9" t="s">
        <v>910</v>
      </c>
      <c r="J2" s="9" t="s">
        <v>911</v>
      </c>
    </row>
    <row r="3" spans="1:10" x14ac:dyDescent="0.25">
      <c r="A3" s="2" t="s">
        <v>14</v>
      </c>
      <c r="B3" s="5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909</v>
      </c>
      <c r="I3" s="9" t="s">
        <v>910</v>
      </c>
      <c r="J3" s="9" t="s">
        <v>911</v>
      </c>
    </row>
    <row r="4" spans="1:10" x14ac:dyDescent="0.25">
      <c r="A4" s="2" t="s">
        <v>18</v>
      </c>
      <c r="B4" s="5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912</v>
      </c>
      <c r="I4" s="9" t="s">
        <v>12</v>
      </c>
      <c r="J4" s="9" t="s">
        <v>913</v>
      </c>
    </row>
    <row r="5" spans="1:10" x14ac:dyDescent="0.25">
      <c r="A5" s="2" t="s">
        <v>23</v>
      </c>
      <c r="B5" s="5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912</v>
      </c>
      <c r="I5" s="9" t="s">
        <v>12</v>
      </c>
      <c r="J5" s="9" t="s">
        <v>913</v>
      </c>
    </row>
    <row r="6" spans="1:10" x14ac:dyDescent="0.25">
      <c r="A6" s="2" t="s">
        <v>28</v>
      </c>
      <c r="B6" s="5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914</v>
      </c>
      <c r="I6" s="9" t="s">
        <v>915</v>
      </c>
      <c r="J6" s="9" t="s">
        <v>916</v>
      </c>
    </row>
    <row r="7" spans="1:10" x14ac:dyDescent="0.25">
      <c r="A7" s="2" t="s">
        <v>33</v>
      </c>
      <c r="B7" s="5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914</v>
      </c>
      <c r="I7" s="9" t="s">
        <v>915</v>
      </c>
      <c r="J7" s="9" t="s">
        <v>916</v>
      </c>
    </row>
    <row r="8" spans="1:10" x14ac:dyDescent="0.25">
      <c r="A8" s="2" t="s">
        <v>37</v>
      </c>
      <c r="B8" s="5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917</v>
      </c>
      <c r="I8" s="9" t="s">
        <v>12</v>
      </c>
      <c r="J8" s="9" t="s">
        <v>918</v>
      </c>
    </row>
    <row r="9" spans="1:10" x14ac:dyDescent="0.25">
      <c r="A9" s="2" t="s">
        <v>42</v>
      </c>
      <c r="B9" s="5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917</v>
      </c>
      <c r="I9" s="9" t="s">
        <v>12</v>
      </c>
      <c r="J9" s="9" t="s">
        <v>918</v>
      </c>
    </row>
    <row r="10" spans="1:10" x14ac:dyDescent="0.25">
      <c r="A10" s="2" t="s">
        <v>46</v>
      </c>
      <c r="B10" s="5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919</v>
      </c>
      <c r="I10" s="9" t="s">
        <v>920</v>
      </c>
      <c r="J10" s="9" t="s">
        <v>921</v>
      </c>
    </row>
    <row r="11" spans="1:10" x14ac:dyDescent="0.25">
      <c r="A11" s="2" t="s">
        <v>50</v>
      </c>
      <c r="B11" s="5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919</v>
      </c>
      <c r="I11" s="9" t="s">
        <v>920</v>
      </c>
      <c r="J11" s="9" t="s">
        <v>921</v>
      </c>
    </row>
    <row r="12" spans="1:10" x14ac:dyDescent="0.25">
      <c r="A12" s="2" t="s">
        <v>54</v>
      </c>
      <c r="B12" s="5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922</v>
      </c>
      <c r="I12" s="9" t="s">
        <v>923</v>
      </c>
      <c r="J12" s="9" t="s">
        <v>924</v>
      </c>
    </row>
    <row r="13" spans="1:10" x14ac:dyDescent="0.25">
      <c r="A13" s="2" t="s">
        <v>58</v>
      </c>
      <c r="B13" s="5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922</v>
      </c>
      <c r="I13" s="9" t="s">
        <v>923</v>
      </c>
      <c r="J13" s="9" t="s">
        <v>924</v>
      </c>
    </row>
    <row r="14" spans="1:10" x14ac:dyDescent="0.25">
      <c r="A14" s="2" t="s">
        <v>63</v>
      </c>
      <c r="B14" s="5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925</v>
      </c>
      <c r="I14" s="9" t="s">
        <v>12</v>
      </c>
      <c r="J14" s="9" t="s">
        <v>926</v>
      </c>
    </row>
    <row r="15" spans="1:10" x14ac:dyDescent="0.25">
      <c r="A15" s="2" t="s">
        <v>68</v>
      </c>
      <c r="B15" s="5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925</v>
      </c>
      <c r="I15" s="9" t="s">
        <v>12</v>
      </c>
      <c r="J15" s="9" t="s">
        <v>926</v>
      </c>
    </row>
    <row r="16" spans="1:10" x14ac:dyDescent="0.25">
      <c r="A16" s="2" t="s">
        <v>72</v>
      </c>
      <c r="B16" s="5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922</v>
      </c>
      <c r="I16" s="9" t="s">
        <v>927</v>
      </c>
      <c r="J16" s="9" t="s">
        <v>928</v>
      </c>
    </row>
    <row r="17" spans="1:10" x14ac:dyDescent="0.25">
      <c r="A17" s="2" t="s">
        <v>76</v>
      </c>
      <c r="B17" s="5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922</v>
      </c>
      <c r="I17" s="9" t="s">
        <v>927</v>
      </c>
      <c r="J17" s="9" t="s">
        <v>928</v>
      </c>
    </row>
    <row r="18" spans="1:10" x14ac:dyDescent="0.25">
      <c r="A18" s="2" t="s">
        <v>81</v>
      </c>
      <c r="B18" s="5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929</v>
      </c>
      <c r="I18" s="9" t="s">
        <v>926</v>
      </c>
      <c r="J18" s="9" t="s">
        <v>913</v>
      </c>
    </row>
    <row r="19" spans="1:10" x14ac:dyDescent="0.25">
      <c r="A19" s="2" t="s">
        <v>85</v>
      </c>
      <c r="B19" s="5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929</v>
      </c>
      <c r="I19" s="9" t="s">
        <v>926</v>
      </c>
      <c r="J19" s="9" t="s">
        <v>913</v>
      </c>
    </row>
    <row r="20" spans="1:10" x14ac:dyDescent="0.25">
      <c r="A20" s="2" t="s">
        <v>88</v>
      </c>
      <c r="B20" s="5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930</v>
      </c>
      <c r="I20" s="9" t="s">
        <v>910</v>
      </c>
      <c r="J20" s="9" t="s">
        <v>926</v>
      </c>
    </row>
    <row r="21" spans="1:10" x14ac:dyDescent="0.25">
      <c r="A21" s="2" t="s">
        <v>94</v>
      </c>
      <c r="B21" s="5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930</v>
      </c>
      <c r="I21" s="9" t="s">
        <v>910</v>
      </c>
      <c r="J21" s="9" t="s">
        <v>926</v>
      </c>
    </row>
    <row r="22" spans="1:10" x14ac:dyDescent="0.25">
      <c r="A22" s="2" t="s">
        <v>99</v>
      </c>
      <c r="B22" s="5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931</v>
      </c>
      <c r="I22" s="9" t="s">
        <v>932</v>
      </c>
      <c r="J22" s="9" t="s">
        <v>911</v>
      </c>
    </row>
    <row r="23" spans="1:10" x14ac:dyDescent="0.25">
      <c r="A23" s="2" t="s">
        <v>103</v>
      </c>
      <c r="B23" s="5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931</v>
      </c>
      <c r="I23" s="9" t="s">
        <v>932</v>
      </c>
      <c r="J23" s="9" t="s">
        <v>911</v>
      </c>
    </row>
    <row r="24" spans="1:10" x14ac:dyDescent="0.25">
      <c r="A24" s="2" t="s">
        <v>107</v>
      </c>
      <c r="B24" s="5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933</v>
      </c>
      <c r="I24" s="9" t="s">
        <v>12</v>
      </c>
      <c r="J24" s="9" t="s">
        <v>934</v>
      </c>
    </row>
    <row r="25" spans="1:10" x14ac:dyDescent="0.25">
      <c r="A25" s="2" t="s">
        <v>112</v>
      </c>
      <c r="B25" s="5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933</v>
      </c>
      <c r="I25" s="9" t="s">
        <v>12</v>
      </c>
      <c r="J25" s="9" t="s">
        <v>934</v>
      </c>
    </row>
    <row r="26" spans="1:10" x14ac:dyDescent="0.25">
      <c r="A26" s="2" t="s">
        <v>117</v>
      </c>
      <c r="B26" s="5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933</v>
      </c>
      <c r="I26" s="9" t="s">
        <v>910</v>
      </c>
      <c r="J26" s="9" t="s">
        <v>935</v>
      </c>
    </row>
    <row r="27" spans="1:10" x14ac:dyDescent="0.25">
      <c r="A27" s="2" t="s">
        <v>121</v>
      </c>
      <c r="B27" s="5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933</v>
      </c>
      <c r="I27" s="9" t="s">
        <v>910</v>
      </c>
      <c r="J27" s="9" t="s">
        <v>935</v>
      </c>
    </row>
    <row r="28" spans="1:10" x14ac:dyDescent="0.25">
      <c r="A28" s="2" t="s">
        <v>124</v>
      </c>
      <c r="B28" s="5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925</v>
      </c>
      <c r="I28" s="9" t="s">
        <v>936</v>
      </c>
      <c r="J28" s="9" t="s">
        <v>937</v>
      </c>
    </row>
    <row r="29" spans="1:10" x14ac:dyDescent="0.25">
      <c r="A29" s="2" t="s">
        <v>128</v>
      </c>
      <c r="B29" s="5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925</v>
      </c>
      <c r="I29" s="9" t="s">
        <v>936</v>
      </c>
      <c r="J29" s="9" t="s">
        <v>937</v>
      </c>
    </row>
    <row r="30" spans="1:10" x14ac:dyDescent="0.25">
      <c r="A30" s="2" t="s">
        <v>132</v>
      </c>
      <c r="B30" s="5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925</v>
      </c>
      <c r="I30" s="9" t="s">
        <v>938</v>
      </c>
      <c r="J30" s="9" t="s">
        <v>918</v>
      </c>
    </row>
    <row r="31" spans="1:10" x14ac:dyDescent="0.25">
      <c r="A31" s="2" t="s">
        <v>138</v>
      </c>
      <c r="B31" s="5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925</v>
      </c>
      <c r="I31" s="9" t="s">
        <v>938</v>
      </c>
      <c r="J31" s="9" t="s">
        <v>918</v>
      </c>
    </row>
    <row r="32" spans="1:10" x14ac:dyDescent="0.25">
      <c r="A32" s="2" t="s">
        <v>143</v>
      </c>
      <c r="B32" s="5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909</v>
      </c>
      <c r="I32" s="9" t="s">
        <v>376</v>
      </c>
      <c r="J32" s="9" t="s">
        <v>911</v>
      </c>
    </row>
    <row r="33" spans="1:10" x14ac:dyDescent="0.25">
      <c r="A33" s="2" t="s">
        <v>145</v>
      </c>
      <c r="B33" s="5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909</v>
      </c>
      <c r="I33" s="9" t="s">
        <v>376</v>
      </c>
      <c r="J33" s="9" t="s">
        <v>911</v>
      </c>
    </row>
    <row r="34" spans="1:10" x14ac:dyDescent="0.25">
      <c r="A34" s="2" t="s">
        <v>150</v>
      </c>
      <c r="B34" s="5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939</v>
      </c>
      <c r="I34" s="9" t="s">
        <v>12</v>
      </c>
      <c r="J34" s="9" t="s">
        <v>940</v>
      </c>
    </row>
    <row r="35" spans="1:10" x14ac:dyDescent="0.25">
      <c r="A35" s="2" t="s">
        <v>153</v>
      </c>
      <c r="B35" s="5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939</v>
      </c>
      <c r="I35" s="9" t="s">
        <v>12</v>
      </c>
      <c r="J35" s="9" t="s">
        <v>940</v>
      </c>
    </row>
    <row r="36" spans="1:10" x14ac:dyDescent="0.25">
      <c r="A36" s="2" t="s">
        <v>157</v>
      </c>
      <c r="B36" s="5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941</v>
      </c>
      <c r="I36" s="9" t="s">
        <v>12</v>
      </c>
      <c r="J36" s="9" t="s">
        <v>920</v>
      </c>
    </row>
    <row r="37" spans="1:10" x14ac:dyDescent="0.25">
      <c r="A37" s="2" t="s">
        <v>161</v>
      </c>
      <c r="B37" s="5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941</v>
      </c>
      <c r="I37" s="9" t="s">
        <v>12</v>
      </c>
      <c r="J37" s="9" t="s">
        <v>920</v>
      </c>
    </row>
    <row r="38" spans="1:10" x14ac:dyDescent="0.25">
      <c r="A38" s="2" t="s">
        <v>167</v>
      </c>
      <c r="B38" s="5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942</v>
      </c>
      <c r="I38" s="9" t="s">
        <v>943</v>
      </c>
      <c r="J38" s="9" t="s">
        <v>935</v>
      </c>
    </row>
    <row r="39" spans="1:10" x14ac:dyDescent="0.25">
      <c r="A39" s="2" t="s">
        <v>171</v>
      </c>
      <c r="B39" s="5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942</v>
      </c>
      <c r="I39" s="9" t="s">
        <v>943</v>
      </c>
      <c r="J39" s="9" t="s">
        <v>935</v>
      </c>
    </row>
    <row r="40" spans="1:10" x14ac:dyDescent="0.25">
      <c r="A40" s="2" t="s">
        <v>173</v>
      </c>
      <c r="B40" s="5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944</v>
      </c>
      <c r="I40" s="9" t="s">
        <v>913</v>
      </c>
      <c r="J40" s="9" t="s">
        <v>945</v>
      </c>
    </row>
    <row r="41" spans="1:10" x14ac:dyDescent="0.25">
      <c r="A41" s="2" t="s">
        <v>177</v>
      </c>
      <c r="B41" s="5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944</v>
      </c>
      <c r="I41" s="9" t="s">
        <v>913</v>
      </c>
      <c r="J41" s="9" t="s">
        <v>945</v>
      </c>
    </row>
    <row r="42" spans="1:10" x14ac:dyDescent="0.25">
      <c r="A42" s="2" t="s">
        <v>181</v>
      </c>
      <c r="B42" s="5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946</v>
      </c>
      <c r="I42" s="9" t="s">
        <v>12</v>
      </c>
      <c r="J42" s="9" t="s">
        <v>926</v>
      </c>
    </row>
    <row r="43" spans="1:10" x14ac:dyDescent="0.25">
      <c r="A43" s="2" t="s">
        <v>185</v>
      </c>
      <c r="B43" s="5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946</v>
      </c>
      <c r="I43" s="9" t="s">
        <v>12</v>
      </c>
      <c r="J43" s="9" t="s">
        <v>926</v>
      </c>
    </row>
    <row r="44" spans="1:10" x14ac:dyDescent="0.25">
      <c r="A44" s="2" t="s">
        <v>190</v>
      </c>
      <c r="B44" s="5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947</v>
      </c>
      <c r="I44" s="9" t="s">
        <v>920</v>
      </c>
      <c r="J44" s="9" t="s">
        <v>945</v>
      </c>
    </row>
    <row r="45" spans="1:10" x14ac:dyDescent="0.25">
      <c r="A45" s="2" t="s">
        <v>193</v>
      </c>
      <c r="B45" s="5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947</v>
      </c>
      <c r="I45" s="9" t="s">
        <v>920</v>
      </c>
      <c r="J45" s="9" t="s">
        <v>945</v>
      </c>
    </row>
    <row r="46" spans="1:10" x14ac:dyDescent="0.25">
      <c r="A46" s="2" t="s">
        <v>197</v>
      </c>
      <c r="B46" s="5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948</v>
      </c>
      <c r="I46" s="9" t="s">
        <v>949</v>
      </c>
      <c r="J46" s="9" t="s">
        <v>950</v>
      </c>
    </row>
    <row r="47" spans="1:10" x14ac:dyDescent="0.25">
      <c r="A47" s="2" t="s">
        <v>201</v>
      </c>
      <c r="B47" s="5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948</v>
      </c>
      <c r="I47" s="9" t="s">
        <v>949</v>
      </c>
      <c r="J47" s="9" t="s">
        <v>950</v>
      </c>
    </row>
    <row r="48" spans="1:10" x14ac:dyDescent="0.25">
      <c r="A48" s="2" t="s">
        <v>206</v>
      </c>
      <c r="B48" s="5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951</v>
      </c>
      <c r="I48" s="9" t="s">
        <v>940</v>
      </c>
      <c r="J48" s="9" t="s">
        <v>921</v>
      </c>
    </row>
    <row r="49" spans="1:10" x14ac:dyDescent="0.25">
      <c r="A49" s="2" t="s">
        <v>208</v>
      </c>
      <c r="B49" s="5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951</v>
      </c>
      <c r="I49" s="9" t="s">
        <v>940</v>
      </c>
      <c r="J49" s="9" t="s">
        <v>921</v>
      </c>
    </row>
    <row r="50" spans="1:10" x14ac:dyDescent="0.25">
      <c r="A50" s="2" t="s">
        <v>210</v>
      </c>
      <c r="B50" s="5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952</v>
      </c>
      <c r="I50" s="9" t="s">
        <v>953</v>
      </c>
      <c r="J50" s="9" t="s">
        <v>954</v>
      </c>
    </row>
    <row r="51" spans="1:10" x14ac:dyDescent="0.25">
      <c r="A51" s="2" t="s">
        <v>213</v>
      </c>
      <c r="B51" s="5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952</v>
      </c>
      <c r="I51" s="9" t="s">
        <v>953</v>
      </c>
      <c r="J51" s="9" t="s">
        <v>954</v>
      </c>
    </row>
    <row r="52" spans="1:10" x14ac:dyDescent="0.25">
      <c r="A52" s="2" t="s">
        <v>217</v>
      </c>
      <c r="B52" s="5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955</v>
      </c>
      <c r="I52" s="9"/>
      <c r="J52" s="9" t="s">
        <v>956</v>
      </c>
    </row>
    <row r="53" spans="1:10" x14ac:dyDescent="0.25">
      <c r="A53" s="2" t="s">
        <v>222</v>
      </c>
      <c r="B53" s="5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955</v>
      </c>
      <c r="I53" s="9"/>
      <c r="J53" s="9" t="s">
        <v>956</v>
      </c>
    </row>
    <row r="54" spans="1:10" x14ac:dyDescent="0.25">
      <c r="A54" s="2" t="s">
        <v>224</v>
      </c>
      <c r="B54" s="5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922</v>
      </c>
      <c r="I54" s="9" t="s">
        <v>934</v>
      </c>
      <c r="J54" s="9" t="s">
        <v>926</v>
      </c>
    </row>
    <row r="55" spans="1:10" x14ac:dyDescent="0.25">
      <c r="A55" s="2" t="s">
        <v>227</v>
      </c>
      <c r="B55" s="5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922</v>
      </c>
      <c r="I55" s="9" t="s">
        <v>934</v>
      </c>
      <c r="J55" s="9" t="s">
        <v>926</v>
      </c>
    </row>
    <row r="56" spans="1:10" x14ac:dyDescent="0.25">
      <c r="A56" s="2" t="s">
        <v>231</v>
      </c>
      <c r="B56" s="5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948</v>
      </c>
      <c r="I56" s="9" t="s">
        <v>957</v>
      </c>
      <c r="J56" s="9" t="s">
        <v>958</v>
      </c>
    </row>
    <row r="57" spans="1:10" x14ac:dyDescent="0.25">
      <c r="A57" s="2" t="s">
        <v>235</v>
      </c>
      <c r="B57" s="5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948</v>
      </c>
      <c r="I57" s="9" t="s">
        <v>957</v>
      </c>
      <c r="J57" s="9" t="s">
        <v>958</v>
      </c>
    </row>
    <row r="58" spans="1:10" x14ac:dyDescent="0.25">
      <c r="A58" s="2" t="s">
        <v>237</v>
      </c>
      <c r="B58" s="5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959</v>
      </c>
      <c r="I58" s="9" t="s">
        <v>960</v>
      </c>
      <c r="J58" s="9" t="s">
        <v>924</v>
      </c>
    </row>
    <row r="59" spans="1:10" x14ac:dyDescent="0.25">
      <c r="A59" s="2" t="s">
        <v>239</v>
      </c>
      <c r="B59" s="5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959</v>
      </c>
      <c r="I59" s="9" t="s">
        <v>960</v>
      </c>
      <c r="J59" s="9" t="s">
        <v>924</v>
      </c>
    </row>
    <row r="60" spans="1:10" x14ac:dyDescent="0.25">
      <c r="A60" s="2" t="s">
        <v>242</v>
      </c>
      <c r="B60" s="5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961</v>
      </c>
      <c r="I60" s="9" t="s">
        <v>962</v>
      </c>
      <c r="J60" s="9" t="s">
        <v>954</v>
      </c>
    </row>
    <row r="61" spans="1:10" x14ac:dyDescent="0.25">
      <c r="A61" s="2" t="s">
        <v>247</v>
      </c>
      <c r="B61" s="5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961</v>
      </c>
      <c r="I61" s="9" t="s">
        <v>962</v>
      </c>
      <c r="J61" s="9" t="s">
        <v>954</v>
      </c>
    </row>
    <row r="62" spans="1:10" x14ac:dyDescent="0.25">
      <c r="A62" s="2" t="s">
        <v>252</v>
      </c>
      <c r="B62" s="5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963</v>
      </c>
      <c r="I62" s="9" t="s">
        <v>957</v>
      </c>
      <c r="J62" s="9" t="s">
        <v>934</v>
      </c>
    </row>
    <row r="63" spans="1:10" x14ac:dyDescent="0.25">
      <c r="A63" s="2" t="s">
        <v>255</v>
      </c>
      <c r="B63" s="5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963</v>
      </c>
      <c r="I63" s="9" t="s">
        <v>957</v>
      </c>
      <c r="J63" s="9" t="s">
        <v>934</v>
      </c>
    </row>
    <row r="64" spans="1:10" x14ac:dyDescent="0.25">
      <c r="A64" s="2" t="s">
        <v>258</v>
      </c>
      <c r="B64" s="5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964</v>
      </c>
      <c r="I64" s="9" t="s">
        <v>957</v>
      </c>
      <c r="J64" s="9" t="s">
        <v>965</v>
      </c>
    </row>
    <row r="65" spans="1:10" x14ac:dyDescent="0.25">
      <c r="A65" s="2" t="s">
        <v>262</v>
      </c>
      <c r="B65" s="5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964</v>
      </c>
      <c r="I65" s="9" t="s">
        <v>957</v>
      </c>
      <c r="J65" s="9" t="s">
        <v>965</v>
      </c>
    </row>
    <row r="66" spans="1:10" x14ac:dyDescent="0.25">
      <c r="A66" s="2" t="s">
        <v>268</v>
      </c>
      <c r="B66" s="5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966</v>
      </c>
      <c r="I66" s="9" t="s">
        <v>920</v>
      </c>
      <c r="J66" s="9" t="s">
        <v>921</v>
      </c>
    </row>
    <row r="67" spans="1:10" x14ac:dyDescent="0.25">
      <c r="A67" s="2" t="s">
        <v>272</v>
      </c>
      <c r="B67" s="5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966</v>
      </c>
      <c r="I67" s="9" t="s">
        <v>920</v>
      </c>
      <c r="J67" s="9" t="s">
        <v>921</v>
      </c>
    </row>
    <row r="68" spans="1:10" x14ac:dyDescent="0.25">
      <c r="A68" s="2" t="s">
        <v>275</v>
      </c>
      <c r="B68" s="5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967</v>
      </c>
      <c r="I68" s="9" t="s">
        <v>12</v>
      </c>
      <c r="J68" s="9" t="s">
        <v>911</v>
      </c>
    </row>
    <row r="69" spans="1:10" x14ac:dyDescent="0.25">
      <c r="A69" s="2" t="s">
        <v>279</v>
      </c>
      <c r="B69" s="5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967</v>
      </c>
      <c r="I69" s="9" t="s">
        <v>12</v>
      </c>
      <c r="J69" s="9" t="s">
        <v>911</v>
      </c>
    </row>
    <row r="70" spans="1:10" x14ac:dyDescent="0.25">
      <c r="A70" s="2" t="s">
        <v>283</v>
      </c>
      <c r="B70" s="5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929</v>
      </c>
      <c r="I70" s="9" t="s">
        <v>910</v>
      </c>
      <c r="J70" s="9" t="s">
        <v>913</v>
      </c>
    </row>
    <row r="71" spans="1:10" x14ac:dyDescent="0.25">
      <c r="A71" s="2" t="s">
        <v>284</v>
      </c>
      <c r="B71" s="5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929</v>
      </c>
      <c r="I71" s="9" t="s">
        <v>910</v>
      </c>
      <c r="J71" s="9" t="s">
        <v>913</v>
      </c>
    </row>
    <row r="72" spans="1:10" x14ac:dyDescent="0.25">
      <c r="A72" s="2" t="s">
        <v>289</v>
      </c>
      <c r="B72" s="5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912</v>
      </c>
      <c r="I72" s="9" t="s">
        <v>920</v>
      </c>
      <c r="J72" s="9" t="s">
        <v>913</v>
      </c>
    </row>
    <row r="73" spans="1:10" x14ac:dyDescent="0.25">
      <c r="A73" s="2" t="s">
        <v>291</v>
      </c>
      <c r="B73" s="5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912</v>
      </c>
      <c r="I73" s="9" t="s">
        <v>920</v>
      </c>
      <c r="J73" s="9" t="s">
        <v>913</v>
      </c>
    </row>
    <row r="74" spans="1:10" x14ac:dyDescent="0.25">
      <c r="A74" s="2" t="s">
        <v>295</v>
      </c>
      <c r="B74" s="5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968</v>
      </c>
      <c r="I74" s="9" t="s">
        <v>12</v>
      </c>
      <c r="J74" s="9" t="s">
        <v>911</v>
      </c>
    </row>
    <row r="75" spans="1:10" x14ac:dyDescent="0.25">
      <c r="A75" s="2" t="s">
        <v>299</v>
      </c>
      <c r="B75" s="5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968</v>
      </c>
      <c r="I75" s="9" t="s">
        <v>12</v>
      </c>
      <c r="J75" s="9" t="s">
        <v>911</v>
      </c>
    </row>
    <row r="76" spans="1:10" x14ac:dyDescent="0.25">
      <c r="A76" s="2" t="s">
        <v>302</v>
      </c>
      <c r="B76" s="5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969</v>
      </c>
      <c r="I76" s="9" t="s">
        <v>960</v>
      </c>
      <c r="J76" s="9" t="s">
        <v>937</v>
      </c>
    </row>
    <row r="77" spans="1:10" x14ac:dyDescent="0.25">
      <c r="A77" s="2" t="s">
        <v>305</v>
      </c>
      <c r="B77" s="5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969</v>
      </c>
      <c r="I77" s="9" t="s">
        <v>960</v>
      </c>
      <c r="J77" s="9" t="s">
        <v>937</v>
      </c>
    </row>
    <row r="78" spans="1:10" x14ac:dyDescent="0.25">
      <c r="A78" s="2" t="s">
        <v>309</v>
      </c>
      <c r="B78" s="5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952</v>
      </c>
      <c r="I78" s="9" t="s">
        <v>12</v>
      </c>
      <c r="J78" s="9" t="s">
        <v>921</v>
      </c>
    </row>
    <row r="79" spans="1:10" x14ac:dyDescent="0.25">
      <c r="A79" s="2" t="s">
        <v>315</v>
      </c>
      <c r="B79" s="5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952</v>
      </c>
      <c r="I79" s="9" t="s">
        <v>12</v>
      </c>
      <c r="J79" s="9" t="s">
        <v>921</v>
      </c>
    </row>
    <row r="80" spans="1:10" x14ac:dyDescent="0.25">
      <c r="A80" s="2" t="s">
        <v>320</v>
      </c>
      <c r="B80" s="5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970</v>
      </c>
      <c r="I80" s="9" t="s">
        <v>920</v>
      </c>
      <c r="J80" s="9" t="s">
        <v>971</v>
      </c>
    </row>
    <row r="81" spans="1:10" x14ac:dyDescent="0.25">
      <c r="A81" s="2" t="s">
        <v>323</v>
      </c>
      <c r="B81" s="5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970</v>
      </c>
      <c r="I81" s="9" t="s">
        <v>920</v>
      </c>
      <c r="J81" s="9" t="s">
        <v>971</v>
      </c>
    </row>
    <row r="82" spans="1:10" x14ac:dyDescent="0.25">
      <c r="A82" s="2" t="s">
        <v>328</v>
      </c>
      <c r="B82" s="5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972</v>
      </c>
      <c r="I82" s="9" t="s">
        <v>12</v>
      </c>
      <c r="J82" s="9" t="s">
        <v>913</v>
      </c>
    </row>
    <row r="83" spans="1:10" x14ac:dyDescent="0.25">
      <c r="A83" s="2" t="s">
        <v>333</v>
      </c>
      <c r="B83" s="5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972</v>
      </c>
      <c r="I83" s="9" t="s">
        <v>12</v>
      </c>
      <c r="J83" s="9" t="s">
        <v>913</v>
      </c>
    </row>
    <row r="84" spans="1:10" x14ac:dyDescent="0.25">
      <c r="A84" s="2" t="s">
        <v>337</v>
      </c>
      <c r="B84" s="5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21</v>
      </c>
      <c r="I84" s="9" t="s">
        <v>973</v>
      </c>
      <c r="J84" s="9" t="s">
        <v>945</v>
      </c>
    </row>
    <row r="85" spans="1:10" x14ac:dyDescent="0.25">
      <c r="A85" s="2" t="s">
        <v>339</v>
      </c>
      <c r="B85" s="5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21</v>
      </c>
      <c r="I85" s="9" t="s">
        <v>973</v>
      </c>
      <c r="J85" s="9" t="s">
        <v>945</v>
      </c>
    </row>
    <row r="86" spans="1:10" x14ac:dyDescent="0.25">
      <c r="A86" s="2" t="s">
        <v>342</v>
      </c>
      <c r="B86" s="5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462</v>
      </c>
      <c r="I86" s="9" t="s">
        <v>910</v>
      </c>
      <c r="J86" s="9" t="s">
        <v>926</v>
      </c>
    </row>
    <row r="87" spans="1:10" x14ac:dyDescent="0.25">
      <c r="A87" s="2" t="s">
        <v>345</v>
      </c>
      <c r="B87" s="5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462</v>
      </c>
      <c r="I87" s="9" t="s">
        <v>910</v>
      </c>
      <c r="J87" s="9" t="s">
        <v>926</v>
      </c>
    </row>
    <row r="88" spans="1:10" x14ac:dyDescent="0.25">
      <c r="A88" s="2" t="s">
        <v>350</v>
      </c>
      <c r="B88" s="5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974</v>
      </c>
      <c r="I88" s="9" t="s">
        <v>926</v>
      </c>
      <c r="J88" s="9" t="s">
        <v>934</v>
      </c>
    </row>
    <row r="89" spans="1:10" x14ac:dyDescent="0.25">
      <c r="A89" s="2" t="s">
        <v>354</v>
      </c>
      <c r="B89" s="5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974</v>
      </c>
      <c r="I89" s="9" t="s">
        <v>926</v>
      </c>
      <c r="J89" s="9" t="s">
        <v>934</v>
      </c>
    </row>
    <row r="90" spans="1:10" x14ac:dyDescent="0.25">
      <c r="A90" s="2" t="s">
        <v>360</v>
      </c>
      <c r="B90" s="5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967</v>
      </c>
      <c r="I90" s="9" t="s">
        <v>973</v>
      </c>
      <c r="J90" s="9" t="s">
        <v>913</v>
      </c>
    </row>
    <row r="91" spans="1:10" x14ac:dyDescent="0.25">
      <c r="A91" s="2" t="s">
        <v>367</v>
      </c>
      <c r="B91" s="5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967</v>
      </c>
      <c r="I91" s="9" t="s">
        <v>973</v>
      </c>
      <c r="J91" s="9" t="s">
        <v>913</v>
      </c>
    </row>
    <row r="92" spans="1:10" x14ac:dyDescent="0.25">
      <c r="A92" s="2" t="s">
        <v>371</v>
      </c>
      <c r="B92" s="5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912</v>
      </c>
      <c r="I92" s="9" t="s">
        <v>958</v>
      </c>
      <c r="J92" s="9" t="s">
        <v>926</v>
      </c>
    </row>
    <row r="93" spans="1:10" x14ac:dyDescent="0.25">
      <c r="A93" s="2" t="s">
        <v>374</v>
      </c>
      <c r="B93" s="5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912</v>
      </c>
      <c r="I93" s="9" t="s">
        <v>958</v>
      </c>
      <c r="J93" s="9" t="s">
        <v>926</v>
      </c>
    </row>
    <row r="94" spans="1:10" x14ac:dyDescent="0.25">
      <c r="A94" s="2" t="s">
        <v>379</v>
      </c>
      <c r="B94" s="5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909</v>
      </c>
      <c r="I94" s="9" t="s">
        <v>975</v>
      </c>
      <c r="J94" s="9" t="s">
        <v>954</v>
      </c>
    </row>
    <row r="95" spans="1:10" x14ac:dyDescent="0.25">
      <c r="A95" s="2" t="s">
        <v>381</v>
      </c>
      <c r="B95" s="5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909</v>
      </c>
      <c r="I95" s="9" t="s">
        <v>975</v>
      </c>
      <c r="J95" s="9" t="s">
        <v>954</v>
      </c>
    </row>
    <row r="96" spans="1:10" x14ac:dyDescent="0.25">
      <c r="A96" s="2" t="s">
        <v>386</v>
      </c>
      <c r="B96" s="5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976</v>
      </c>
      <c r="I96" s="9" t="s">
        <v>376</v>
      </c>
      <c r="J96" s="9" t="s">
        <v>926</v>
      </c>
    </row>
    <row r="97" spans="1:10" x14ac:dyDescent="0.25">
      <c r="A97" s="2" t="s">
        <v>391</v>
      </c>
      <c r="B97" s="5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976</v>
      </c>
      <c r="I97" s="9" t="s">
        <v>376</v>
      </c>
      <c r="J97" s="9" t="s">
        <v>926</v>
      </c>
    </row>
    <row r="98" spans="1:10" x14ac:dyDescent="0.25">
      <c r="A98" s="2" t="s">
        <v>396</v>
      </c>
      <c r="B98" s="5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977</v>
      </c>
      <c r="I98" s="9" t="s">
        <v>12</v>
      </c>
      <c r="J98" s="9" t="s">
        <v>978</v>
      </c>
    </row>
    <row r="99" spans="1:10" x14ac:dyDescent="0.25">
      <c r="A99" s="2" t="s">
        <v>400</v>
      </c>
      <c r="B99" s="5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977</v>
      </c>
      <c r="I99" s="9" t="s">
        <v>12</v>
      </c>
      <c r="J99" s="9" t="s">
        <v>978</v>
      </c>
    </row>
    <row r="100" spans="1:10" x14ac:dyDescent="0.25">
      <c r="A100" s="2" t="s">
        <v>405</v>
      </c>
      <c r="B100" s="5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966</v>
      </c>
      <c r="I100" s="9" t="s">
        <v>979</v>
      </c>
      <c r="J100" s="9" t="s">
        <v>956</v>
      </c>
    </row>
    <row r="101" spans="1:10" x14ac:dyDescent="0.25">
      <c r="A101" s="2" t="s">
        <v>407</v>
      </c>
      <c r="B101" s="5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966</v>
      </c>
      <c r="I101" s="9" t="s">
        <v>979</v>
      </c>
      <c r="J101" s="9" t="s">
        <v>956</v>
      </c>
    </row>
    <row r="102" spans="1:10" x14ac:dyDescent="0.25">
      <c r="A102" s="2" t="s">
        <v>410</v>
      </c>
      <c r="B102" s="5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980</v>
      </c>
      <c r="I102" s="9" t="s">
        <v>376</v>
      </c>
      <c r="J102" s="9" t="s">
        <v>918</v>
      </c>
    </row>
    <row r="103" spans="1:10" x14ac:dyDescent="0.25">
      <c r="A103" s="2" t="s">
        <v>415</v>
      </c>
      <c r="B103" s="5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980</v>
      </c>
      <c r="I103" s="9" t="s">
        <v>376</v>
      </c>
      <c r="J103" s="9" t="s">
        <v>918</v>
      </c>
    </row>
    <row r="104" spans="1:10" x14ac:dyDescent="0.25">
      <c r="A104" s="2" t="s">
        <v>418</v>
      </c>
      <c r="B104" s="5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981</v>
      </c>
      <c r="I104" s="9" t="s">
        <v>376</v>
      </c>
      <c r="J104" s="9" t="s">
        <v>940</v>
      </c>
    </row>
    <row r="105" spans="1:10" x14ac:dyDescent="0.25">
      <c r="A105" s="2" t="s">
        <v>423</v>
      </c>
      <c r="B105" s="5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981</v>
      </c>
      <c r="I105" s="9" t="s">
        <v>376</v>
      </c>
      <c r="J105" s="9" t="s">
        <v>940</v>
      </c>
    </row>
    <row r="106" spans="1:10" x14ac:dyDescent="0.25">
      <c r="A106" s="2" t="s">
        <v>429</v>
      </c>
      <c r="B106" s="5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982</v>
      </c>
      <c r="I106" s="9" t="s">
        <v>916</v>
      </c>
      <c r="J106" s="9" t="s">
        <v>911</v>
      </c>
    </row>
    <row r="107" spans="1:10" x14ac:dyDescent="0.25">
      <c r="A107" s="2" t="s">
        <v>433</v>
      </c>
      <c r="B107" s="5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982</v>
      </c>
      <c r="I107" s="9" t="s">
        <v>916</v>
      </c>
      <c r="J107" s="9" t="s">
        <v>911</v>
      </c>
    </row>
    <row r="108" spans="1:10" x14ac:dyDescent="0.25">
      <c r="A108" s="2" t="s">
        <v>437</v>
      </c>
      <c r="B108" s="5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914</v>
      </c>
      <c r="I108" s="9" t="s">
        <v>12</v>
      </c>
      <c r="J108" s="9" t="s">
        <v>958</v>
      </c>
    </row>
    <row r="109" spans="1:10" x14ac:dyDescent="0.25">
      <c r="A109" s="2" t="s">
        <v>440</v>
      </c>
      <c r="B109" s="5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914</v>
      </c>
      <c r="I109" s="9" t="s">
        <v>12</v>
      </c>
      <c r="J109" s="9" t="s">
        <v>958</v>
      </c>
    </row>
    <row r="110" spans="1:10" x14ac:dyDescent="0.25">
      <c r="A110" s="2" t="s">
        <v>444</v>
      </c>
      <c r="B110" s="5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983</v>
      </c>
      <c r="I110" s="9"/>
      <c r="J110" s="9" t="s">
        <v>954</v>
      </c>
    </row>
    <row r="111" spans="1:10" x14ac:dyDescent="0.25">
      <c r="A111" s="2" t="s">
        <v>446</v>
      </c>
      <c r="B111" s="5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983</v>
      </c>
      <c r="I111" s="9"/>
      <c r="J111" s="9" t="s">
        <v>954</v>
      </c>
    </row>
    <row r="112" spans="1:10" x14ac:dyDescent="0.25">
      <c r="A112" s="2" t="s">
        <v>450</v>
      </c>
      <c r="B112" s="5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984</v>
      </c>
      <c r="I112" s="9" t="s">
        <v>12</v>
      </c>
      <c r="J112" s="9" t="s">
        <v>945</v>
      </c>
    </row>
    <row r="113" spans="1:10" x14ac:dyDescent="0.25">
      <c r="A113" s="2" t="s">
        <v>454</v>
      </c>
      <c r="B113" s="5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984</v>
      </c>
      <c r="I113" s="9" t="s">
        <v>12</v>
      </c>
      <c r="J113" s="9" t="s">
        <v>945</v>
      </c>
    </row>
    <row r="114" spans="1:10" x14ac:dyDescent="0.25">
      <c r="A114" s="2" t="s">
        <v>457</v>
      </c>
      <c r="B114" s="5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985</v>
      </c>
      <c r="I114" s="9" t="s">
        <v>956</v>
      </c>
      <c r="J114" s="9" t="s">
        <v>916</v>
      </c>
    </row>
    <row r="115" spans="1:10" x14ac:dyDescent="0.25">
      <c r="A115" s="2" t="s">
        <v>461</v>
      </c>
      <c r="B115" s="5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985</v>
      </c>
      <c r="I115" s="9" t="s">
        <v>956</v>
      </c>
      <c r="J115" s="9" t="s">
        <v>916</v>
      </c>
    </row>
    <row r="116" spans="1:10" x14ac:dyDescent="0.25">
      <c r="A116" s="2" t="s">
        <v>464</v>
      </c>
      <c r="B116" s="5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986</v>
      </c>
      <c r="I116" s="9" t="s">
        <v>910</v>
      </c>
      <c r="J116" s="9" t="s">
        <v>921</v>
      </c>
    </row>
    <row r="117" spans="1:10" x14ac:dyDescent="0.25">
      <c r="A117" s="2" t="s">
        <v>466</v>
      </c>
      <c r="B117" s="5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986</v>
      </c>
      <c r="I117" s="9" t="s">
        <v>910</v>
      </c>
      <c r="J117" s="9" t="s">
        <v>921</v>
      </c>
    </row>
    <row r="118" spans="1:10" x14ac:dyDescent="0.25">
      <c r="A118" s="2" t="s">
        <v>468</v>
      </c>
      <c r="B118" s="5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987</v>
      </c>
      <c r="I118" s="9" t="s">
        <v>988</v>
      </c>
      <c r="J118" s="9" t="s">
        <v>913</v>
      </c>
    </row>
    <row r="119" spans="1:10" x14ac:dyDescent="0.25">
      <c r="A119" s="2" t="s">
        <v>472</v>
      </c>
      <c r="B119" s="5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987</v>
      </c>
      <c r="I119" s="9" t="s">
        <v>988</v>
      </c>
      <c r="J119" s="9" t="s">
        <v>913</v>
      </c>
    </row>
    <row r="120" spans="1:10" x14ac:dyDescent="0.25">
      <c r="A120" s="2" t="s">
        <v>476</v>
      </c>
      <c r="B120" s="5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980</v>
      </c>
      <c r="I120" s="9" t="s">
        <v>920</v>
      </c>
      <c r="J120" s="9" t="s">
        <v>940</v>
      </c>
    </row>
    <row r="121" spans="1:10" x14ac:dyDescent="0.25">
      <c r="A121" s="2" t="s">
        <v>481</v>
      </c>
      <c r="B121" s="5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980</v>
      </c>
      <c r="I121" s="9" t="s">
        <v>920</v>
      </c>
      <c r="J121" s="9" t="s">
        <v>940</v>
      </c>
    </row>
    <row r="122" spans="1:10" x14ac:dyDescent="0.25">
      <c r="A122" s="2" t="s">
        <v>484</v>
      </c>
      <c r="B122" s="5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989</v>
      </c>
      <c r="I122" s="9" t="s">
        <v>12</v>
      </c>
      <c r="J122" s="9" t="s">
        <v>916</v>
      </c>
    </row>
    <row r="123" spans="1:10" x14ac:dyDescent="0.25">
      <c r="A123" s="2" t="s">
        <v>488</v>
      </c>
      <c r="B123" s="5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989</v>
      </c>
      <c r="I123" s="9" t="s">
        <v>12</v>
      </c>
      <c r="J123" s="9" t="s">
        <v>916</v>
      </c>
    </row>
    <row r="124" spans="1:10" x14ac:dyDescent="0.25">
      <c r="A124" s="2" t="s">
        <v>494</v>
      </c>
      <c r="B124" s="5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990</v>
      </c>
      <c r="I124" s="9" t="s">
        <v>911</v>
      </c>
      <c r="J124" s="9" t="s">
        <v>956</v>
      </c>
    </row>
    <row r="125" spans="1:10" x14ac:dyDescent="0.25">
      <c r="A125" s="2" t="s">
        <v>495</v>
      </c>
      <c r="B125" s="5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990</v>
      </c>
      <c r="I125" s="9" t="s">
        <v>911</v>
      </c>
      <c r="J125" s="9" t="s">
        <v>956</v>
      </c>
    </row>
    <row r="126" spans="1:10" x14ac:dyDescent="0.25">
      <c r="A126" s="2" t="s">
        <v>498</v>
      </c>
      <c r="B126" s="5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984</v>
      </c>
      <c r="I126" s="9" t="s">
        <v>916</v>
      </c>
      <c r="J126" s="9" t="s">
        <v>991</v>
      </c>
    </row>
    <row r="127" spans="1:10" x14ac:dyDescent="0.25">
      <c r="A127" s="2" t="s">
        <v>502</v>
      </c>
      <c r="B127" s="5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984</v>
      </c>
      <c r="I127" s="9" t="s">
        <v>916</v>
      </c>
      <c r="J127" s="9" t="s">
        <v>991</v>
      </c>
    </row>
    <row r="128" spans="1:10" x14ac:dyDescent="0.25">
      <c r="A128" s="2" t="s">
        <v>507</v>
      </c>
      <c r="B128" s="5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992</v>
      </c>
      <c r="I128" s="9" t="s">
        <v>923</v>
      </c>
      <c r="J128" s="9" t="s">
        <v>940</v>
      </c>
    </row>
    <row r="129" spans="1:10" x14ac:dyDescent="0.25">
      <c r="A129" s="2" t="s">
        <v>511</v>
      </c>
      <c r="B129" s="5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992</v>
      </c>
      <c r="I129" s="9" t="s">
        <v>923</v>
      </c>
      <c r="J129" s="9" t="s">
        <v>940</v>
      </c>
    </row>
    <row r="130" spans="1:10" x14ac:dyDescent="0.25">
      <c r="A130" s="2" t="s">
        <v>515</v>
      </c>
      <c r="B130" s="5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970</v>
      </c>
      <c r="I130" s="9" t="s">
        <v>12</v>
      </c>
      <c r="J130" s="9" t="s">
        <v>926</v>
      </c>
    </row>
    <row r="131" spans="1:10" x14ac:dyDescent="0.25">
      <c r="A131" s="2" t="s">
        <v>520</v>
      </c>
      <c r="B131" s="5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970</v>
      </c>
      <c r="I131" s="9" t="s">
        <v>12</v>
      </c>
      <c r="J131" s="9" t="s">
        <v>926</v>
      </c>
    </row>
    <row r="132" spans="1:10" x14ac:dyDescent="0.25">
      <c r="A132" s="2" t="s">
        <v>523</v>
      </c>
      <c r="B132" s="5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993</v>
      </c>
      <c r="I132" s="9" t="s">
        <v>12</v>
      </c>
      <c r="J132" s="9" t="s">
        <v>973</v>
      </c>
    </row>
    <row r="133" spans="1:10" x14ac:dyDescent="0.25">
      <c r="A133" s="2" t="s">
        <v>526</v>
      </c>
      <c r="B133" s="5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993</v>
      </c>
      <c r="I133" s="9" t="s">
        <v>12</v>
      </c>
      <c r="J133" s="9" t="s">
        <v>973</v>
      </c>
    </row>
    <row r="134" spans="1:10" x14ac:dyDescent="0.25">
      <c r="A134" s="2" t="s">
        <v>530</v>
      </c>
      <c r="B134" s="5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946</v>
      </c>
      <c r="I134" s="9" t="s">
        <v>994</v>
      </c>
      <c r="J134" s="9" t="s">
        <v>926</v>
      </c>
    </row>
    <row r="135" spans="1:10" x14ac:dyDescent="0.25">
      <c r="A135" s="2" t="s">
        <v>534</v>
      </c>
      <c r="B135" s="5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946</v>
      </c>
      <c r="I135" s="9" t="s">
        <v>994</v>
      </c>
      <c r="J135" s="9" t="s">
        <v>926</v>
      </c>
    </row>
    <row r="136" spans="1:10" x14ac:dyDescent="0.25">
      <c r="A136" s="2" t="s">
        <v>540</v>
      </c>
      <c r="B136" s="5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995</v>
      </c>
      <c r="I136" s="9" t="s">
        <v>996</v>
      </c>
      <c r="J136" s="9" t="s">
        <v>927</v>
      </c>
    </row>
    <row r="137" spans="1:10" x14ac:dyDescent="0.25">
      <c r="A137" s="2" t="s">
        <v>544</v>
      </c>
      <c r="B137" s="5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995</v>
      </c>
      <c r="I137" s="9" t="s">
        <v>996</v>
      </c>
      <c r="J137" s="9" t="s">
        <v>927</v>
      </c>
    </row>
    <row r="138" spans="1:10" x14ac:dyDescent="0.25">
      <c r="A138" s="2" t="s">
        <v>549</v>
      </c>
      <c r="B138" s="5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983</v>
      </c>
      <c r="I138" s="9" t="s">
        <v>934</v>
      </c>
      <c r="J138" s="9" t="s">
        <v>940</v>
      </c>
    </row>
    <row r="139" spans="1:10" x14ac:dyDescent="0.25">
      <c r="A139" s="2" t="s">
        <v>553</v>
      </c>
      <c r="B139" s="5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983</v>
      </c>
      <c r="I139" s="9" t="s">
        <v>934</v>
      </c>
      <c r="J139" s="9" t="s">
        <v>940</v>
      </c>
    </row>
    <row r="140" spans="1:10" x14ac:dyDescent="0.25">
      <c r="A140" s="2" t="s">
        <v>557</v>
      </c>
      <c r="B140" s="5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931</v>
      </c>
      <c r="I140" s="9" t="s">
        <v>997</v>
      </c>
      <c r="J140" s="9" t="s">
        <v>940</v>
      </c>
    </row>
    <row r="141" spans="1:10" x14ac:dyDescent="0.25">
      <c r="A141" s="2" t="s">
        <v>560</v>
      </c>
      <c r="B141" s="5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931</v>
      </c>
      <c r="I141" s="9" t="s">
        <v>997</v>
      </c>
      <c r="J141" s="9" t="s">
        <v>940</v>
      </c>
    </row>
    <row r="142" spans="1:10" x14ac:dyDescent="0.25">
      <c r="A142" s="2" t="s">
        <v>562</v>
      </c>
      <c r="B142" s="5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963</v>
      </c>
      <c r="I142" s="9" t="s">
        <v>998</v>
      </c>
      <c r="J142" s="9" t="s">
        <v>940</v>
      </c>
    </row>
    <row r="143" spans="1:10" x14ac:dyDescent="0.25">
      <c r="A143" s="2" t="s">
        <v>568</v>
      </c>
      <c r="B143" s="5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963</v>
      </c>
      <c r="I143" s="9" t="s">
        <v>998</v>
      </c>
      <c r="J143" s="9" t="s">
        <v>940</v>
      </c>
    </row>
    <row r="144" spans="1:10" x14ac:dyDescent="0.25">
      <c r="A144" s="2" t="s">
        <v>570</v>
      </c>
      <c r="B144" s="5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999</v>
      </c>
      <c r="I144" s="9" t="s">
        <v>1000</v>
      </c>
      <c r="J144" s="9" t="s">
        <v>935</v>
      </c>
    </row>
    <row r="145" spans="1:10" x14ac:dyDescent="0.25">
      <c r="A145" s="2" t="s">
        <v>575</v>
      </c>
      <c r="B145" s="5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999</v>
      </c>
      <c r="I145" s="9" t="s">
        <v>1000</v>
      </c>
      <c r="J145" s="9" t="s">
        <v>935</v>
      </c>
    </row>
    <row r="146" spans="1:10" x14ac:dyDescent="0.25">
      <c r="A146" s="2" t="s">
        <v>577</v>
      </c>
      <c r="B146" s="5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981</v>
      </c>
      <c r="I146" s="9" t="s">
        <v>12</v>
      </c>
      <c r="J146" s="9" t="s">
        <v>940</v>
      </c>
    </row>
    <row r="147" spans="1:10" x14ac:dyDescent="0.25">
      <c r="A147" s="2" t="s">
        <v>580</v>
      </c>
      <c r="B147" s="5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981</v>
      </c>
      <c r="I147" s="9" t="s">
        <v>12</v>
      </c>
      <c r="J147" s="9" t="s">
        <v>940</v>
      </c>
    </row>
    <row r="148" spans="1:10" x14ac:dyDescent="0.25">
      <c r="A148" s="2" t="s">
        <v>586</v>
      </c>
      <c r="B148" s="5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977</v>
      </c>
      <c r="I148" s="9" t="s">
        <v>12</v>
      </c>
      <c r="J148" s="9" t="s">
        <v>911</v>
      </c>
    </row>
    <row r="149" spans="1:10" x14ac:dyDescent="0.25">
      <c r="A149" s="2" t="s">
        <v>590</v>
      </c>
      <c r="B149" s="5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977</v>
      </c>
      <c r="I149" s="9" t="s">
        <v>12</v>
      </c>
      <c r="J149" s="9" t="s">
        <v>911</v>
      </c>
    </row>
    <row r="150" spans="1:10" x14ac:dyDescent="0.25">
      <c r="A150" s="2" t="s">
        <v>592</v>
      </c>
      <c r="B150" s="5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931</v>
      </c>
      <c r="I150" s="9" t="s">
        <v>921</v>
      </c>
      <c r="J150" s="9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D02B8-1F59-46FE-97DE-53282562C828}">
  <sheetPr codeName="Sheet4"/>
  <dimension ref="A1:G150"/>
  <sheetViews>
    <sheetView zoomScale="145" zoomScaleNormal="145" workbookViewId="0">
      <selection activeCell="C9" sqref="A1:G150"/>
    </sheetView>
  </sheetViews>
  <sheetFormatPr defaultRowHeight="15" x14ac:dyDescent="0.25"/>
  <cols>
    <col min="1" max="1" width="34.85546875" bestFit="1" customWidth="1"/>
    <col min="2" max="2" width="21" bestFit="1" customWidth="1"/>
    <col min="3" max="3" width="28.28515625" style="14" bestFit="1" customWidth="1"/>
    <col min="4" max="4" width="16.85546875" customWidth="1"/>
    <col min="5" max="5" width="16.140625" style="14" customWidth="1"/>
    <col min="6" max="6" width="15.42578125" customWidth="1"/>
    <col min="7" max="7" width="16.28515625" style="17" customWidth="1"/>
  </cols>
  <sheetData>
    <row r="1" spans="1:7" ht="25.5" customHeight="1" x14ac:dyDescent="0.25">
      <c r="A1" s="10" t="str">
        <f>[1]Break!A1</f>
        <v>Employee</v>
      </c>
      <c r="B1" s="11" t="s">
        <v>1001</v>
      </c>
      <c r="C1" s="13" t="s">
        <v>1002</v>
      </c>
      <c r="D1" s="12" t="s">
        <v>597</v>
      </c>
      <c r="E1" s="15" t="s">
        <v>8</v>
      </c>
      <c r="F1" s="12" t="s">
        <v>598</v>
      </c>
      <c r="G1" s="16" t="s">
        <v>600</v>
      </c>
    </row>
    <row r="2" spans="1:7" x14ac:dyDescent="0.25">
      <c r="A2" t="str">
        <f>Break!A2</f>
        <v>Mum_Abdul Hamid (1008512)</v>
      </c>
      <c r="B2" t="str">
        <f>MID(A2,FIND("_",A2,1)+1,FIND("(",A2,1)-FIND("_",A2,1)-2)</f>
        <v>Abdul Hamid</v>
      </c>
      <c r="C2" s="14">
        <f>TIMEVALUE(VLOOKUP(A2,EData,2,0))</f>
        <v>0.34424768518518517</v>
      </c>
      <c r="D2" s="14">
        <f>TIMEVALUE(VLOOKUP(A2,EData,3,0))</f>
        <v>0.20693287037037036</v>
      </c>
      <c r="E2" s="14">
        <f>TIMEVALUE(VLOOKUP(A2,BData,9,0))</f>
        <v>4.7708333333333332E-2</v>
      </c>
      <c r="F2">
        <f>VLOOKUP(A2,PData,2,0)</f>
        <v>98</v>
      </c>
      <c r="G2" s="17">
        <f>VLOOKUP(A2,EData,6,0)</f>
        <v>0.55697138822580095</v>
      </c>
    </row>
    <row r="3" spans="1:7" x14ac:dyDescent="0.25">
      <c r="A3" t="str">
        <f>Break!A3</f>
        <v>Mum_Afzal Husain (1008513)</v>
      </c>
      <c r="B3" t="str">
        <f t="shared" ref="B3:B66" si="0">MID(A3,FIND("_",A3,1)+1,FIND("(",A3,1)-FIND("_",A3,1)-2)</f>
        <v>Afzal Husain</v>
      </c>
      <c r="C3" s="14">
        <f>TIMEVALUE(VLOOKUP(A3,EData,2,0))</f>
        <v>0.34416666666666668</v>
      </c>
      <c r="D3" s="14">
        <f>TIMEVALUE(VLOOKUP(A3,EData,3,0))</f>
        <v>0.20733796296296295</v>
      </c>
      <c r="E3" s="14">
        <f>TIMEVALUE(VLOOKUP(A3,BData,9,0))</f>
        <v>4.8599537037037038E-2</v>
      </c>
      <c r="F3">
        <f>VLOOKUP(A3,PData,2,0)</f>
        <v>23</v>
      </c>
      <c r="G3" s="17">
        <f>VLOOKUP(A3,EData,6,0)</f>
        <v>0.58027306967984904</v>
      </c>
    </row>
    <row r="4" spans="1:7" x14ac:dyDescent="0.25">
      <c r="A4" t="str">
        <f>Break!A4</f>
        <v>Mum_Anamika Gupta (1008514)</v>
      </c>
      <c r="B4" t="str">
        <f t="shared" si="0"/>
        <v>Anamika Gupta</v>
      </c>
      <c r="C4" s="14">
        <f>TIMEVALUE(VLOOKUP(A4,EData,2,0))</f>
        <v>0.34510416666666671</v>
      </c>
      <c r="D4" s="14">
        <f>TIMEVALUE(VLOOKUP(A4,EData,3,0))</f>
        <v>0.20109953703703706</v>
      </c>
      <c r="E4" s="14">
        <f>TIMEVALUE(VLOOKUP(A4,BData,9,0))</f>
        <v>5.1319444444444445E-2</v>
      </c>
      <c r="F4">
        <f>VLOOKUP(A4,PData,2,0)</f>
        <v>28</v>
      </c>
      <c r="G4" s="17">
        <f>VLOOKUP(A4,EData,6,0)</f>
        <v>0.51708756749505302</v>
      </c>
    </row>
    <row r="5" spans="1:7" x14ac:dyDescent="0.25">
      <c r="A5" t="str">
        <f>Break!A5</f>
        <v>Mum_Anikuttan (1008515)</v>
      </c>
      <c r="B5" t="str">
        <f t="shared" si="0"/>
        <v>Anikuttan</v>
      </c>
      <c r="C5" s="14">
        <f>TIMEVALUE(VLOOKUP(A5,EData,2,0))</f>
        <v>0.34023148148148147</v>
      </c>
      <c r="D5" s="14">
        <f>TIMEVALUE(VLOOKUP(A5,EData,3,0))</f>
        <v>0.17884259259259261</v>
      </c>
      <c r="E5" s="14">
        <f>TIMEVALUE(VLOOKUP(A5,BData,9,0))</f>
        <v>9.6550925925925915E-2</v>
      </c>
      <c r="F5">
        <f>VLOOKUP(A5,PData,2,0)</f>
        <v>29</v>
      </c>
      <c r="G5" s="17">
        <f>VLOOKUP(A5,EData,6,0)</f>
        <v>0.47720778337188702</v>
      </c>
    </row>
    <row r="6" spans="1:7" x14ac:dyDescent="0.25">
      <c r="A6" t="str">
        <f>Break!A6</f>
        <v>Mum_Anil Kumar (1008516)</v>
      </c>
      <c r="B6" t="str">
        <f t="shared" si="0"/>
        <v>Anil Kumar</v>
      </c>
      <c r="C6" s="14">
        <f>TIMEVALUE(VLOOKUP(A6,EData,2,0))</f>
        <v>0.30603009259259256</v>
      </c>
      <c r="D6" s="14">
        <f>TIMEVALUE(VLOOKUP(A6,EData,3,0))</f>
        <v>0.13870370370370369</v>
      </c>
      <c r="E6" s="14">
        <f>TIMEVALUE(VLOOKUP(A6,BData,9,0))</f>
        <v>0.12844907407407408</v>
      </c>
      <c r="F6">
        <f>VLOOKUP(A6,PData,2,0)</f>
        <v>93</v>
      </c>
      <c r="G6" s="17">
        <f>VLOOKUP(A6,EData,6,0)</f>
        <v>0.43288831738587802</v>
      </c>
    </row>
    <row r="7" spans="1:7" x14ac:dyDescent="0.25">
      <c r="A7" t="str">
        <f>Break!A7</f>
        <v>Mum_Anita Dixit (1008517)</v>
      </c>
      <c r="B7" t="str">
        <f t="shared" si="0"/>
        <v>Anita Dixit</v>
      </c>
      <c r="C7" s="14">
        <f>TIMEVALUE(VLOOKUP(A7,EData,2,0))</f>
        <v>0.20843750000000003</v>
      </c>
      <c r="D7" s="14">
        <f>TIMEVALUE(VLOOKUP(A7,EData,3,0))</f>
        <v>0.15369212962962964</v>
      </c>
      <c r="E7" s="14">
        <f>TIMEVALUE(VLOOKUP(A7,BData,9,0))</f>
        <v>1.8831018518518518E-2</v>
      </c>
      <c r="F7">
        <f>VLOOKUP(A7,PData,2,0)</f>
        <v>92</v>
      </c>
      <c r="G7" s="17">
        <f>VLOOKUP(A7,EData,6,0)</f>
        <v>0.65495030262646503</v>
      </c>
    </row>
    <row r="8" spans="1:7" x14ac:dyDescent="0.25">
      <c r="A8" t="str">
        <f>Break!A8</f>
        <v>Mum_Anita Ghore (1008518)</v>
      </c>
      <c r="B8" t="str">
        <f t="shared" si="0"/>
        <v>Anita Ghore</v>
      </c>
      <c r="C8" s="14">
        <f>TIMEVALUE(VLOOKUP(A8,EData,2,0))</f>
        <v>0.34488425925925931</v>
      </c>
      <c r="D8" s="14">
        <f>TIMEVALUE(VLOOKUP(A8,EData,3,0))</f>
        <v>0.17553240740740741</v>
      </c>
      <c r="E8" s="14">
        <f>TIMEVALUE(VLOOKUP(A8,BData,9,0))</f>
        <v>0.11229166666666668</v>
      </c>
      <c r="F8">
        <f>VLOOKUP(A8,PData,2,0)</f>
        <v>26</v>
      </c>
      <c r="G8" s="17">
        <f>VLOOKUP(A8,EData,6,0)</f>
        <v>0.49476474931203401</v>
      </c>
    </row>
    <row r="9" spans="1:7" x14ac:dyDescent="0.25">
      <c r="A9" t="str">
        <f>Break!A9</f>
        <v>Mum_Anjali Deoram (1008519)</v>
      </c>
      <c r="B9" t="str">
        <f t="shared" si="0"/>
        <v>Anjali Deoram</v>
      </c>
      <c r="C9" s="14">
        <f>TIMEVALUE(VLOOKUP(A9,EData,2,0))</f>
        <v>0.38646990740740739</v>
      </c>
      <c r="D9" s="14">
        <f>TIMEVALUE(VLOOKUP(A9,EData,3,0))</f>
        <v>0.24453703703703702</v>
      </c>
      <c r="E9" s="14">
        <f>TIMEVALUE(VLOOKUP(A9,BData,9,0))</f>
        <v>5.0810185185185187E-2</v>
      </c>
      <c r="F9">
        <f>VLOOKUP(A9,PData,2,0)</f>
        <v>90</v>
      </c>
      <c r="G9" s="17">
        <f>VLOOKUP(A9,EData,6,0)</f>
        <v>0.55128627474469205</v>
      </c>
    </row>
    <row r="10" spans="1:7" x14ac:dyDescent="0.25">
      <c r="A10" t="str">
        <f>Break!A10</f>
        <v>Mum_Anjali Sahay (1008520)</v>
      </c>
      <c r="B10" t="str">
        <f t="shared" si="0"/>
        <v>Anjali Sahay</v>
      </c>
      <c r="C10" s="14">
        <f>TIMEVALUE(VLOOKUP(A10,EData,2,0))</f>
        <v>0.34256944444444448</v>
      </c>
      <c r="D10" s="14">
        <f>TIMEVALUE(VLOOKUP(A10,EData,3,0))</f>
        <v>0.20311342592592593</v>
      </c>
      <c r="E10" s="14">
        <f>TIMEVALUE(VLOOKUP(A10,BData,9,0))</f>
        <v>4.628472222222222E-2</v>
      </c>
      <c r="F10">
        <f>VLOOKUP(A10,PData,2,0)</f>
        <v>89</v>
      </c>
      <c r="G10" s="17">
        <f>VLOOKUP(A10,EData,6,0)</f>
        <v>0.55206432867085597</v>
      </c>
    </row>
    <row r="11" spans="1:7" x14ac:dyDescent="0.25">
      <c r="A11" t="str">
        <f>Break!A11</f>
        <v>Mum_Annu Latika (1008521)</v>
      </c>
      <c r="B11" t="str">
        <f t="shared" si="0"/>
        <v>Annu Latika</v>
      </c>
      <c r="C11" s="14">
        <f>TIMEVALUE(VLOOKUP(A11,EData,2,0))</f>
        <v>0.34769675925925925</v>
      </c>
      <c r="D11" s="14">
        <f>TIMEVALUE(VLOOKUP(A11,EData,3,0))</f>
        <v>0.20702546296296295</v>
      </c>
      <c r="E11" s="14">
        <f>TIMEVALUE(VLOOKUP(A11,BData,9,0))</f>
        <v>4.8576388888888884E-2</v>
      </c>
      <c r="F11">
        <f>VLOOKUP(A11,PData,2,0)</f>
        <v>54</v>
      </c>
      <c r="G11" s="17">
        <f>VLOOKUP(A11,EData,6,0)</f>
        <v>0.56868945774108703</v>
      </c>
    </row>
    <row r="12" spans="1:7" x14ac:dyDescent="0.25">
      <c r="A12" t="str">
        <f>Break!A12</f>
        <v>Mum_Anoop Narayan (1008522)</v>
      </c>
      <c r="B12" t="str">
        <f t="shared" si="0"/>
        <v>Anoop Narayan</v>
      </c>
      <c r="C12" s="14">
        <f>TIMEVALUE(VLOOKUP(A12,EData,2,0))</f>
        <v>0.34068287037037037</v>
      </c>
      <c r="D12" s="14">
        <f>TIMEVALUE(VLOOKUP(A12,EData,3,0))</f>
        <v>0.20518518518518516</v>
      </c>
      <c r="E12" s="14">
        <f>TIMEVALUE(VLOOKUP(A12,BData,9,0))</f>
        <v>4.809027777777778E-2</v>
      </c>
      <c r="F12">
        <f>VLOOKUP(A12,PData,2,0)</f>
        <v>87</v>
      </c>
      <c r="G12" s="17">
        <f>VLOOKUP(A12,EData,6,0)</f>
        <v>0.56035332087650802</v>
      </c>
    </row>
    <row r="13" spans="1:7" x14ac:dyDescent="0.25">
      <c r="A13" t="str">
        <f>Break!A13</f>
        <v>Mum_Anoop Raj (1008523)</v>
      </c>
      <c r="B13" t="str">
        <f t="shared" si="0"/>
        <v>Anoop Raj</v>
      </c>
      <c r="C13" s="14">
        <f>TIMEVALUE(VLOOKUP(A13,EData,2,0))</f>
        <v>0.33622685185185186</v>
      </c>
      <c r="D13" s="14">
        <f>TIMEVALUE(VLOOKUP(A13,EData,3,0))</f>
        <v>0.15812499999999999</v>
      </c>
      <c r="E13" s="14">
        <f>TIMEVALUE(VLOOKUP(A13,BData,9,0))</f>
        <v>0.12590277777777778</v>
      </c>
      <c r="F13">
        <f>VLOOKUP(A13,PData,2,0)</f>
        <v>65</v>
      </c>
      <c r="G13" s="17">
        <f>VLOOKUP(A13,EData,6,0)</f>
        <v>0.41552495697073999</v>
      </c>
    </row>
    <row r="14" spans="1:7" x14ac:dyDescent="0.25">
      <c r="A14" t="str">
        <f>Break!A14</f>
        <v>Mum_Anubhuti Gupta (1008524)</v>
      </c>
      <c r="B14" t="str">
        <f t="shared" si="0"/>
        <v>Anubhuti Gupta</v>
      </c>
      <c r="C14" s="14">
        <f>TIMEVALUE(VLOOKUP(A14,EData,2,0))</f>
        <v>0.34349537037037042</v>
      </c>
      <c r="D14" s="14">
        <f>TIMEVALUE(VLOOKUP(A14,EData,3,0))</f>
        <v>0.19699074074074074</v>
      </c>
      <c r="E14" s="14">
        <f>TIMEVALUE(VLOOKUP(A14,BData,9,0))</f>
        <v>8.7974537037037046E-2</v>
      </c>
      <c r="F14">
        <f>VLOOKUP(A14,PData,2,0)</f>
        <v>85</v>
      </c>
      <c r="G14" s="17">
        <f>VLOOKUP(A14,EData,6,0)</f>
        <v>0.50026955994339195</v>
      </c>
    </row>
    <row r="15" spans="1:7" x14ac:dyDescent="0.25">
      <c r="A15" t="str">
        <f>Break!A15</f>
        <v>Mum_Arun Kumar (1008525)</v>
      </c>
      <c r="B15" t="str">
        <f t="shared" si="0"/>
        <v>Arun Kumar</v>
      </c>
      <c r="C15" s="14">
        <f>TIMEVALUE(VLOOKUP(A15,EData,2,0))</f>
        <v>0.33321759259259259</v>
      </c>
      <c r="D15" s="14">
        <f>TIMEVALUE(VLOOKUP(A15,EData,3,0))</f>
        <v>0.19475694444444444</v>
      </c>
      <c r="E15" s="14">
        <f>TIMEVALUE(VLOOKUP(A15,BData,9,0))</f>
        <v>4.9004629629629627E-2</v>
      </c>
      <c r="F15">
        <f>VLOOKUP(A15,PData,2,0)</f>
        <v>65</v>
      </c>
      <c r="G15" s="17">
        <f>VLOOKUP(A15,EData,6,0)</f>
        <v>0.51396318166029897</v>
      </c>
    </row>
    <row r="16" spans="1:7" x14ac:dyDescent="0.25">
      <c r="A16" t="str">
        <f>Break!A16</f>
        <v>Mum_Ashish Kumar (1008526)</v>
      </c>
      <c r="B16" t="str">
        <f t="shared" si="0"/>
        <v>Ashish Kumar</v>
      </c>
      <c r="C16" s="14">
        <f>TIMEVALUE(VLOOKUP(A16,EData,2,0))</f>
        <v>0.34512731481481485</v>
      </c>
      <c r="D16" s="14">
        <f>TIMEVALUE(VLOOKUP(A16,EData,3,0))</f>
        <v>0.2066550925925926</v>
      </c>
      <c r="E16" s="14">
        <f>TIMEVALUE(VLOOKUP(A16,BData,9,0))</f>
        <v>5.3460648148148153E-2</v>
      </c>
      <c r="F16">
        <f>VLOOKUP(A16,PData,2,0)</f>
        <v>83</v>
      </c>
      <c r="G16" s="17">
        <f>VLOOKUP(A16,EData,6,0)</f>
        <v>0.510580502364264</v>
      </c>
    </row>
    <row r="17" spans="1:7" x14ac:dyDescent="0.25">
      <c r="A17" t="str">
        <f>Break!A17</f>
        <v>Mum_Ashok Kumar (1008527)</v>
      </c>
      <c r="B17" t="str">
        <f t="shared" si="0"/>
        <v>Ashok Kumar</v>
      </c>
      <c r="C17" s="14">
        <f>TIMEVALUE(VLOOKUP(A17,EData,2,0))</f>
        <v>0.34531249999999997</v>
      </c>
      <c r="D17" s="14">
        <f>TIMEVALUE(VLOOKUP(A17,EData,3,0))</f>
        <v>0.17390046296296294</v>
      </c>
      <c r="E17" s="14">
        <f>TIMEVALUE(VLOOKUP(A17,BData,9,0))</f>
        <v>0.10023148148148148</v>
      </c>
      <c r="F17">
        <f>VLOOKUP(A17,PData,2,0)</f>
        <v>82</v>
      </c>
      <c r="G17" s="17">
        <f>VLOOKUP(A17,EData,6,0)</f>
        <v>0.48292274174627098</v>
      </c>
    </row>
    <row r="18" spans="1:7" x14ac:dyDescent="0.25">
      <c r="A18" t="str">
        <f>Break!A18</f>
        <v>Hyd_Ashok Kumar (1008528)</v>
      </c>
      <c r="B18" t="str">
        <f t="shared" si="0"/>
        <v>Ashok Kumar</v>
      </c>
      <c r="C18" s="14">
        <f>TIMEVALUE(VLOOKUP(A18,EData,2,0))</f>
        <v>0.32848379629629632</v>
      </c>
      <c r="D18" s="14">
        <f>TIMEVALUE(VLOOKUP(A18,EData,3,0))</f>
        <v>0.1973611111111111</v>
      </c>
      <c r="E18" s="14">
        <f>TIMEVALUE(VLOOKUP(A18,BData,9,0))</f>
        <v>3.9224537037037037E-2</v>
      </c>
      <c r="F18">
        <f>VLOOKUP(A18,PData,2,0)</f>
        <v>81</v>
      </c>
      <c r="G18" s="17">
        <f>VLOOKUP(A18,EData,6,0)</f>
        <v>0.57362319861879396</v>
      </c>
    </row>
    <row r="19" spans="1:7" x14ac:dyDescent="0.25">
      <c r="A19" t="str">
        <f>Break!A19</f>
        <v>Hyd_Ashok Kumar (1008529)</v>
      </c>
      <c r="B19" t="str">
        <f t="shared" si="0"/>
        <v>Ashok Kumar</v>
      </c>
      <c r="C19" s="14">
        <f>TIMEVALUE(VLOOKUP(A19,EData,2,0))</f>
        <v>0.34494212962962961</v>
      </c>
      <c r="D19" s="14">
        <f>TIMEVALUE(VLOOKUP(A19,EData,3,0))</f>
        <v>0.20702546296296295</v>
      </c>
      <c r="E19" s="14">
        <f>TIMEVALUE(VLOOKUP(A19,BData,9,0))</f>
        <v>4.8692129629629627E-2</v>
      </c>
      <c r="F19">
        <f>VLOOKUP(A19,PData,2,0)</f>
        <v>80</v>
      </c>
      <c r="G19" s="17">
        <f>VLOOKUP(A19,EData,6,0)</f>
        <v>0.56430560681810604</v>
      </c>
    </row>
    <row r="20" spans="1:7" x14ac:dyDescent="0.25">
      <c r="A20" t="str">
        <f>Break!A20</f>
        <v>Hyd_Ashok Kumar (1008530)</v>
      </c>
      <c r="B20" t="str">
        <f t="shared" si="0"/>
        <v>Ashok Kumar</v>
      </c>
      <c r="C20" s="14">
        <f>TIMEVALUE(VLOOKUP(A20,EData,2,0))</f>
        <v>0.34810185185185188</v>
      </c>
      <c r="D20" s="14">
        <f>TIMEVALUE(VLOOKUP(A20,EData,3,0))</f>
        <v>0.18267361111111111</v>
      </c>
      <c r="E20" s="14">
        <f>TIMEVALUE(VLOOKUP(A20,BData,9,0))</f>
        <v>0.11122685185185184</v>
      </c>
      <c r="F20">
        <f>VLOOKUP(A20,PData,2,0)</f>
        <v>79</v>
      </c>
      <c r="G20" s="17">
        <f>VLOOKUP(A20,EData,6,0)</f>
        <v>0.46974331693044302</v>
      </c>
    </row>
    <row r="21" spans="1:7" x14ac:dyDescent="0.25">
      <c r="A21" t="str">
        <f>Break!A21</f>
        <v>Hyd_Ashok Mahto (1008531)</v>
      </c>
      <c r="B21" t="str">
        <f t="shared" si="0"/>
        <v>Ashok Mahto</v>
      </c>
      <c r="C21" s="14">
        <f>TIMEVALUE(VLOOKUP(A21,EData,2,0))</f>
        <v>0.34574074074074074</v>
      </c>
      <c r="D21" s="14">
        <f>TIMEVALUE(VLOOKUP(A21,EData,3,0))</f>
        <v>0.20710648148148147</v>
      </c>
      <c r="E21" s="14">
        <f>TIMEVALUE(VLOOKUP(A21,BData,9,0))</f>
        <v>5.1736111111111115E-2</v>
      </c>
      <c r="F21">
        <f>VLOOKUP(A21,PData,2,0)</f>
        <v>78</v>
      </c>
      <c r="G21" s="17">
        <f>VLOOKUP(A21,EData,6,0)</f>
        <v>0.57495313336904097</v>
      </c>
    </row>
    <row r="22" spans="1:7" x14ac:dyDescent="0.25">
      <c r="A22" t="str">
        <f>Break!A22</f>
        <v>Hyd_Atul Kumar (1008532)</v>
      </c>
      <c r="B22" t="str">
        <f t="shared" si="0"/>
        <v>Atul Kumar</v>
      </c>
      <c r="C22" s="14">
        <f>TIMEVALUE(VLOOKUP(A22,EData,2,0))</f>
        <v>0.3428356481481481</v>
      </c>
      <c r="D22" s="14">
        <f>TIMEVALUE(VLOOKUP(A22,EData,3,0))</f>
        <v>0.20393518518518516</v>
      </c>
      <c r="E22" s="14">
        <f>TIMEVALUE(VLOOKUP(A22,BData,9,0))</f>
        <v>4.6516203703703705E-2</v>
      </c>
      <c r="F22">
        <f>VLOOKUP(A22,PData,2,0)</f>
        <v>77</v>
      </c>
      <c r="G22" s="17">
        <f>VLOOKUP(A22,EData,6,0)</f>
        <v>0.57945376590932096</v>
      </c>
    </row>
    <row r="23" spans="1:7" x14ac:dyDescent="0.25">
      <c r="A23" t="str">
        <f>Break!A23</f>
        <v>Hyd_Azam (1008533)</v>
      </c>
      <c r="B23" t="str">
        <f t="shared" si="0"/>
        <v>Azam</v>
      </c>
      <c r="C23" s="14">
        <f>TIMEVALUE(VLOOKUP(A23,EData,2,0))</f>
        <v>0.34553240740740737</v>
      </c>
      <c r="D23" s="14">
        <f>TIMEVALUE(VLOOKUP(A23,EData,3,0))</f>
        <v>0.20821759259259257</v>
      </c>
      <c r="E23" s="14">
        <f>TIMEVALUE(VLOOKUP(A23,BData,9,0))</f>
        <v>4.8460648148148149E-2</v>
      </c>
      <c r="F23">
        <f>VLOOKUP(A23,PData,2,0)</f>
        <v>76</v>
      </c>
      <c r="G23" s="17">
        <f>VLOOKUP(A23,EData,6,0)</f>
        <v>0.588296375695049</v>
      </c>
    </row>
    <row r="24" spans="1:7" x14ac:dyDescent="0.25">
      <c r="A24" t="str">
        <f>Break!A24</f>
        <v>Hyd_Bhagwat Singh (1008534)</v>
      </c>
      <c r="B24" t="str">
        <f t="shared" si="0"/>
        <v>Bhagwat Singh</v>
      </c>
      <c r="C24" s="14">
        <f>TIMEVALUE(VLOOKUP(A24,EData,2,0))</f>
        <v>0.32064814814814818</v>
      </c>
      <c r="D24" s="14">
        <f>TIMEVALUE(VLOOKUP(A24,EData,3,0))</f>
        <v>0.17288194444444446</v>
      </c>
      <c r="E24" s="14">
        <f>TIMEVALUE(VLOOKUP(A24,BData,9,0))</f>
        <v>9.0486111111111114E-2</v>
      </c>
      <c r="F24">
        <f>VLOOKUP(A24,PData,2,0)</f>
        <v>75</v>
      </c>
      <c r="G24" s="17">
        <f>VLOOKUP(A24,EData,6,0)</f>
        <v>0.46267686976609901</v>
      </c>
    </row>
    <row r="25" spans="1:7" x14ac:dyDescent="0.25">
      <c r="A25" t="str">
        <f>Break!A25</f>
        <v>Hyd_Bindu Nair (1008535)</v>
      </c>
      <c r="B25" t="str">
        <f t="shared" si="0"/>
        <v>Bindu Nair</v>
      </c>
      <c r="C25" s="14">
        <f>TIMEVALUE(VLOOKUP(A25,EData,2,0))</f>
        <v>0.34032407407407406</v>
      </c>
      <c r="D25" s="14">
        <f>TIMEVALUE(VLOOKUP(A25,EData,3,0))</f>
        <v>0.17644675925925926</v>
      </c>
      <c r="E25" s="14">
        <f>TIMEVALUE(VLOOKUP(A25,BData,9,0))</f>
        <v>9.116898148148149E-2</v>
      </c>
      <c r="F25">
        <f>VLOOKUP(A25,PData,2,0)</f>
        <v>74</v>
      </c>
      <c r="G25" s="17">
        <f>VLOOKUP(A25,EData,6,0)</f>
        <v>0.478030199972793</v>
      </c>
    </row>
    <row r="26" spans="1:7" x14ac:dyDescent="0.25">
      <c r="A26" t="str">
        <f>Break!A26</f>
        <v>Hyd_Daleep Singh (1008536)</v>
      </c>
      <c r="B26" t="str">
        <f t="shared" si="0"/>
        <v>Daleep Singh</v>
      </c>
      <c r="C26" s="14">
        <f>TIMEVALUE(VLOOKUP(A26,EData,2,0))</f>
        <v>0.34328703703703706</v>
      </c>
      <c r="D26" s="14">
        <f>TIMEVALUE(VLOOKUP(A26,EData,3,0))</f>
        <v>0.22703703703703704</v>
      </c>
      <c r="E26" s="14">
        <f>TIMEVALUE(VLOOKUP(A26,BData,9,0))</f>
        <v>5.0625000000000003E-2</v>
      </c>
      <c r="F26">
        <f>VLOOKUP(A26,PData,2,0)</f>
        <v>73</v>
      </c>
      <c r="G26" s="17">
        <f>VLOOKUP(A26,EData,6,0)</f>
        <v>0.59983142279163904</v>
      </c>
    </row>
    <row r="27" spans="1:7" x14ac:dyDescent="0.25">
      <c r="A27" t="str">
        <f>Break!A27</f>
        <v>Hyd_Deepak Kumar (1008537)</v>
      </c>
      <c r="B27" t="str">
        <f t="shared" si="0"/>
        <v>Deepak Kumar</v>
      </c>
      <c r="C27" s="14">
        <f>TIMEVALUE(VLOOKUP(A27,EData,2,0))</f>
        <v>0.31663194444444448</v>
      </c>
      <c r="D27" s="14">
        <f>TIMEVALUE(VLOOKUP(A27,EData,3,0))</f>
        <v>0.21199074074074076</v>
      </c>
      <c r="E27" s="14">
        <f>TIMEVALUE(VLOOKUP(A27,BData,9,0))</f>
        <v>2.1180555555555553E-2</v>
      </c>
      <c r="F27">
        <f>VLOOKUP(A27,PData,2,0)</f>
        <v>72</v>
      </c>
      <c r="G27" s="17">
        <f>VLOOKUP(A27,EData,6,0)</f>
        <v>0.65029060203969702</v>
      </c>
    </row>
    <row r="28" spans="1:7" x14ac:dyDescent="0.25">
      <c r="A28" t="str">
        <f>Break!A28</f>
        <v>Hyd_Deepika Nigam (1008538)</v>
      </c>
      <c r="B28" t="str">
        <f t="shared" si="0"/>
        <v>Deepika Nigam</v>
      </c>
      <c r="C28" s="14">
        <f>TIMEVALUE(VLOOKUP(A28,EData,2,0))</f>
        <v>0.34512731481481485</v>
      </c>
      <c r="D28" s="14">
        <f>TIMEVALUE(VLOOKUP(A28,EData,3,0))</f>
        <v>0.20607638888888888</v>
      </c>
      <c r="E28" s="14">
        <f>TIMEVALUE(VLOOKUP(A28,BData,9,0))</f>
        <v>4.9768518518518517E-2</v>
      </c>
      <c r="F28">
        <f>VLOOKUP(A28,PData,2,0)</f>
        <v>71</v>
      </c>
      <c r="G28" s="17">
        <f>VLOOKUP(A28,EData,6,0)</f>
        <v>0.55001844461584903</v>
      </c>
    </row>
    <row r="29" spans="1:7" x14ac:dyDescent="0.25">
      <c r="A29" t="str">
        <f>Break!A29</f>
        <v>Hyd_Dinesh Kumar (1008539)</v>
      </c>
      <c r="B29" t="str">
        <f t="shared" si="0"/>
        <v>Dinesh Kumar</v>
      </c>
      <c r="C29" s="14">
        <f>TIMEVALUE(VLOOKUP(A29,EData,2,0))</f>
        <v>0.34297453703703701</v>
      </c>
      <c r="D29" s="14">
        <f>TIMEVALUE(VLOOKUP(A29,EData,3,0))</f>
        <v>0.21273148148148147</v>
      </c>
      <c r="E29" s="14">
        <f>TIMEVALUE(VLOOKUP(A29,BData,9,0))</f>
        <v>4.8645833333333333E-2</v>
      </c>
      <c r="F29">
        <f>VLOOKUP(A29,PData,2,0)</f>
        <v>70</v>
      </c>
      <c r="G29" s="17">
        <f>VLOOKUP(A29,EData,6,0)</f>
        <v>0.51334660682347399</v>
      </c>
    </row>
    <row r="30" spans="1:7" x14ac:dyDescent="0.25">
      <c r="A30" t="str">
        <f>Break!A30</f>
        <v>Hyd_Hari Kumar (1008540)</v>
      </c>
      <c r="B30" t="str">
        <f t="shared" si="0"/>
        <v>Hari Kumar</v>
      </c>
      <c r="C30" s="14">
        <f>TIMEVALUE(VLOOKUP(A30,EData,2,0))</f>
        <v>0.34387731481481482</v>
      </c>
      <c r="D30" s="14">
        <f>TIMEVALUE(VLOOKUP(A30,EData,3,0))</f>
        <v>0.17480324074074075</v>
      </c>
      <c r="E30" s="14">
        <f>TIMEVALUE(VLOOKUP(A30,BData,9,0))</f>
        <v>0.11449074074074074</v>
      </c>
      <c r="F30">
        <f>VLOOKUP(A30,PData,2,0)</f>
        <v>69</v>
      </c>
      <c r="G30" s="17">
        <f>VLOOKUP(A30,EData,6,0)</f>
        <v>0.43603379219817601</v>
      </c>
    </row>
    <row r="31" spans="1:7" x14ac:dyDescent="0.25">
      <c r="A31" t="str">
        <f>Break!A31</f>
        <v>Hyd_Heeramani Choudhary (1008541)</v>
      </c>
      <c r="B31" t="str">
        <f t="shared" si="0"/>
        <v>Heeramani Choudhary</v>
      </c>
      <c r="C31" s="14">
        <f>TIMEVALUE(VLOOKUP(A31,EData,2,0))</f>
        <v>0.31069444444444444</v>
      </c>
      <c r="D31" s="14">
        <f>TIMEVALUE(VLOOKUP(A31,EData,3,0))</f>
        <v>0.1912962962962963</v>
      </c>
      <c r="E31" s="14">
        <f>TIMEVALUE(VLOOKUP(A31,BData,9,0))</f>
        <v>5.5787037037037031E-2</v>
      </c>
      <c r="F31">
        <f>VLOOKUP(A31,PData,2,0)</f>
        <v>68</v>
      </c>
      <c r="G31" s="17">
        <f>VLOOKUP(A31,EData,6,0)</f>
        <v>0.52954105200417201</v>
      </c>
    </row>
    <row r="32" spans="1:7" x14ac:dyDescent="0.25">
      <c r="A32" t="str">
        <f>Break!A32</f>
        <v>Hyd_Indra Pal (1008542)</v>
      </c>
      <c r="B32" t="str">
        <f t="shared" si="0"/>
        <v>Indra Pal</v>
      </c>
      <c r="C32" s="14">
        <f>TIMEVALUE(VLOOKUP(A32,EData,2,0))</f>
        <v>0.33329861111111109</v>
      </c>
      <c r="D32" s="14">
        <f>TIMEVALUE(VLOOKUP(A32,EData,3,0))</f>
        <v>0.21824074074074074</v>
      </c>
      <c r="E32" s="14">
        <f>TIMEVALUE(VLOOKUP(A32,BData,9,0))</f>
        <v>4.809027777777778E-2</v>
      </c>
      <c r="F32">
        <f>VLOOKUP(A32,PData,2,0)</f>
        <v>67</v>
      </c>
      <c r="G32" s="17">
        <f>VLOOKUP(A32,EData,6,0)</f>
        <v>0.56446852102649603</v>
      </c>
    </row>
    <row r="33" spans="1:7" x14ac:dyDescent="0.25">
      <c r="A33" t="str">
        <f>Break!A33</f>
        <v>Hyd_Indra Singh (1008543)</v>
      </c>
      <c r="B33" t="str">
        <f t="shared" si="0"/>
        <v>Indra Singh</v>
      </c>
      <c r="C33" s="14">
        <f>TIMEVALUE(VLOOKUP(A33,EData,2,0))</f>
        <v>0.34564814814814815</v>
      </c>
      <c r="D33" s="14">
        <f>TIMEVALUE(VLOOKUP(A33,EData,3,0))</f>
        <v>0.21184027777777778</v>
      </c>
      <c r="E33" s="14">
        <f>TIMEVALUE(VLOOKUP(A33,BData,9,0))</f>
        <v>8.9745370370370378E-2</v>
      </c>
      <c r="F33">
        <f>VLOOKUP(A33,PData,2,0)</f>
        <v>66</v>
      </c>
      <c r="G33" s="17">
        <f>VLOOKUP(A33,EData,6,0)</f>
        <v>0.49789043664612898</v>
      </c>
    </row>
    <row r="34" spans="1:7" x14ac:dyDescent="0.25">
      <c r="A34" t="str">
        <f>Break!A34</f>
        <v>Hyd_Jagdish Chandra (1008544)</v>
      </c>
      <c r="B34" t="str">
        <f t="shared" si="0"/>
        <v>Jagdish Chandra</v>
      </c>
      <c r="C34" s="14">
        <f>TIMEVALUE(VLOOKUP(A34,EData,2,0))</f>
        <v>0.34664351851851855</v>
      </c>
      <c r="D34" s="14">
        <f>TIMEVALUE(VLOOKUP(A34,EData,3,0))</f>
        <v>0.20781249999999998</v>
      </c>
      <c r="E34" s="14">
        <f>TIMEVALUE(VLOOKUP(A34,BData,9,0))</f>
        <v>4.7951388888888891E-2</v>
      </c>
      <c r="F34">
        <f>VLOOKUP(A34,PData,2,0)</f>
        <v>65</v>
      </c>
      <c r="G34" s="17">
        <f>VLOOKUP(A34,EData,6,0)</f>
        <v>0.56270450751252099</v>
      </c>
    </row>
    <row r="35" spans="1:7" x14ac:dyDescent="0.25">
      <c r="A35" t="str">
        <f>Break!A35</f>
        <v>Hyd_Jairaj Vatham (1008545)</v>
      </c>
      <c r="B35" t="str">
        <f t="shared" si="0"/>
        <v>Jairaj Vatham</v>
      </c>
      <c r="C35" s="14">
        <f>TIMEVALUE(VLOOKUP(A35,EData,2,0))</f>
        <v>0.34471064814814811</v>
      </c>
      <c r="D35" s="14">
        <f>TIMEVALUE(VLOOKUP(A35,EData,3,0))</f>
        <v>0.20981481481481482</v>
      </c>
      <c r="E35" s="14">
        <f>TIMEVALUE(VLOOKUP(A35,BData,9,0))</f>
        <v>4.8564814814814818E-2</v>
      </c>
      <c r="F35">
        <f>VLOOKUP(A35,PData,2,0)</f>
        <v>64</v>
      </c>
      <c r="G35" s="17">
        <f>VLOOKUP(A35,EData,6,0)</f>
        <v>0.57680556021891705</v>
      </c>
    </row>
    <row r="36" spans="1:7" x14ac:dyDescent="0.25">
      <c r="A36" t="str">
        <f>Break!A36</f>
        <v>Hyd_Janardan Mishra (1008546)</v>
      </c>
      <c r="B36" t="str">
        <f t="shared" si="0"/>
        <v>Janardan Mishra</v>
      </c>
      <c r="C36" s="14">
        <f>TIMEVALUE(VLOOKUP(A36,EData,2,0))</f>
        <v>0.31923611111111111</v>
      </c>
      <c r="D36" s="14">
        <f>TIMEVALUE(VLOOKUP(A36,EData,3,0))</f>
        <v>0.18953703703703703</v>
      </c>
      <c r="E36" s="14">
        <f>TIMEVALUE(VLOOKUP(A36,BData,9,0))</f>
        <v>6.1215277777777778E-2</v>
      </c>
      <c r="F36">
        <f>VLOOKUP(A36,PData,2,0)</f>
        <v>63</v>
      </c>
      <c r="G36" s="17">
        <f>VLOOKUP(A36,EData,6,0)</f>
        <v>0.55728373576970502</v>
      </c>
    </row>
    <row r="37" spans="1:7" x14ac:dyDescent="0.25">
      <c r="A37" t="str">
        <f>Break!A37</f>
        <v>Hyd_Jitendra Kumar (1008547)</v>
      </c>
      <c r="B37" t="str">
        <f t="shared" si="0"/>
        <v>Jitendra Kumar</v>
      </c>
      <c r="C37" s="14">
        <f>TIMEVALUE(VLOOKUP(A37,EData,2,0))</f>
        <v>0.34128472222222223</v>
      </c>
      <c r="D37" s="14">
        <f>TIMEVALUE(VLOOKUP(A37,EData,3,0))</f>
        <v>0.17200231481481479</v>
      </c>
      <c r="E37" s="14">
        <f>TIMEVALUE(VLOOKUP(A37,BData,9,0))</f>
        <v>0.10777777777777779</v>
      </c>
      <c r="F37">
        <f>VLOOKUP(A37,PData,2,0)</f>
        <v>62</v>
      </c>
      <c r="G37" s="17">
        <f>VLOOKUP(A37,EData,6,0)</f>
        <v>0.47590463594126198</v>
      </c>
    </row>
    <row r="38" spans="1:7" x14ac:dyDescent="0.25">
      <c r="A38" t="str">
        <f>Break!A38</f>
        <v>Hyd_John D'Costa (1008548)</v>
      </c>
      <c r="B38" t="str">
        <f t="shared" si="0"/>
        <v>John D'Costa</v>
      </c>
      <c r="C38" s="14">
        <f>TIMEVALUE(VLOOKUP(A38,EData,2,0))</f>
        <v>0.34012731481481479</v>
      </c>
      <c r="D38" s="14">
        <f>TIMEVALUE(VLOOKUP(A38,EData,3,0))</f>
        <v>0.20243055555555556</v>
      </c>
      <c r="E38" s="14">
        <f>TIMEVALUE(VLOOKUP(A38,BData,9,0))</f>
        <v>4.8333333333333332E-2</v>
      </c>
      <c r="F38">
        <f>VLOOKUP(A38,PData,2,0)</f>
        <v>61</v>
      </c>
      <c r="G38" s="17">
        <f>VLOOKUP(A38,EData,6,0)</f>
        <v>0.55636846224520997</v>
      </c>
    </row>
    <row r="39" spans="1:7" x14ac:dyDescent="0.25">
      <c r="A39" t="str">
        <f>Break!A39</f>
        <v>Hyd_Julie S (1008549)</v>
      </c>
      <c r="B39" t="str">
        <f t="shared" si="0"/>
        <v>Julie S</v>
      </c>
      <c r="C39" s="14">
        <f>TIMEVALUE(VLOOKUP(A39,EData,2,0))</f>
        <v>0.3442824074074074</v>
      </c>
      <c r="D39" s="14">
        <f>TIMEVALUE(VLOOKUP(A39,EData,3,0))</f>
        <v>0.20569444444444443</v>
      </c>
      <c r="E39" s="14">
        <f>TIMEVALUE(VLOOKUP(A39,BData,9,0))</f>
        <v>4.912037037037037E-2</v>
      </c>
      <c r="F39">
        <f>VLOOKUP(A39,PData,2,0)</f>
        <v>60</v>
      </c>
      <c r="G39" s="17">
        <f>VLOOKUP(A39,EData,6,0)</f>
        <v>0.527970147246689</v>
      </c>
    </row>
    <row r="40" spans="1:7" x14ac:dyDescent="0.25">
      <c r="A40" t="str">
        <f>Break!A40</f>
        <v>Hyd_Jyoti Tulsani (1008550)</v>
      </c>
      <c r="B40" t="str">
        <f t="shared" si="0"/>
        <v>Jyoti Tulsani</v>
      </c>
      <c r="C40" s="14">
        <f>TIMEVALUE(VLOOKUP(A40,EData,2,0))</f>
        <v>0.3439699074074074</v>
      </c>
      <c r="D40" s="14">
        <f>TIMEVALUE(VLOOKUP(A40,EData,3,0))</f>
        <v>0.20620370370370369</v>
      </c>
      <c r="E40" s="14">
        <f>TIMEVALUE(VLOOKUP(A40,BData,9,0))</f>
        <v>4.8923611111111105E-2</v>
      </c>
      <c r="F40">
        <f>VLOOKUP(A40,PData,2,0)</f>
        <v>59</v>
      </c>
      <c r="G40" s="17">
        <f>VLOOKUP(A40,EData,6,0)</f>
        <v>0.565025741108382</v>
      </c>
    </row>
    <row r="41" spans="1:7" x14ac:dyDescent="0.25">
      <c r="A41" t="str">
        <f>Break!A41</f>
        <v>Hyd_Kahkasha Parveen (1008551)</v>
      </c>
      <c r="B41" t="str">
        <f t="shared" si="0"/>
        <v>Kahkasha Parveen</v>
      </c>
      <c r="C41" s="14">
        <f>TIMEVALUE(VLOOKUP(A41,EData,2,0))</f>
        <v>0.34541666666666665</v>
      </c>
      <c r="D41" s="14">
        <f>TIMEVALUE(VLOOKUP(A41,EData,3,0))</f>
        <v>0.22590277777777779</v>
      </c>
      <c r="E41" s="14">
        <f>TIMEVALUE(VLOOKUP(A41,BData,9,0))</f>
        <v>4.8749999999999995E-2</v>
      </c>
      <c r="F41">
        <f>VLOOKUP(A41,PData,2,0)</f>
        <v>58</v>
      </c>
      <c r="G41" s="17">
        <f>VLOOKUP(A41,EData,6,0)</f>
        <v>0.48579278917035301</v>
      </c>
    </row>
    <row r="42" spans="1:7" x14ac:dyDescent="0.25">
      <c r="A42" t="str">
        <f>Break!A42</f>
        <v>Hyd_Kailash Nath (1008552)</v>
      </c>
      <c r="B42" t="str">
        <f t="shared" si="0"/>
        <v>Kailash Nath</v>
      </c>
      <c r="C42" s="14">
        <f>TIMEVALUE(VLOOKUP(A42,EData,2,0))</f>
        <v>0.34445601851851854</v>
      </c>
      <c r="D42" s="14">
        <f>TIMEVALUE(VLOOKUP(A42,EData,3,0))</f>
        <v>0.20725694444444445</v>
      </c>
      <c r="E42" s="14">
        <f>TIMEVALUE(VLOOKUP(A42,BData,9,0))</f>
        <v>4.6990740740740743E-2</v>
      </c>
      <c r="F42">
        <f>VLOOKUP(A42,PData,2,0)</f>
        <v>57</v>
      </c>
      <c r="G42" s="17">
        <f>VLOOKUP(A42,EData,6,0)</f>
        <v>0.572258996673499</v>
      </c>
    </row>
    <row r="43" spans="1:7" x14ac:dyDescent="0.25">
      <c r="A43" t="str">
        <f>Break!A43</f>
        <v>Hyd_Kalpana Agrawal (1008553)</v>
      </c>
      <c r="B43" t="str">
        <f t="shared" si="0"/>
        <v>Kalpana Agrawal</v>
      </c>
      <c r="C43" s="14">
        <f>TIMEVALUE(VLOOKUP(A43,EData,2,0))</f>
        <v>0.33342592592592596</v>
      </c>
      <c r="D43" s="14">
        <f>TIMEVALUE(VLOOKUP(A43,EData,3,0))</f>
        <v>0.16271990740740741</v>
      </c>
      <c r="E43" s="14">
        <f>TIMEVALUE(VLOOKUP(A43,BData,9,0))</f>
        <v>0.10062500000000001</v>
      </c>
      <c r="F43">
        <f>VLOOKUP(A43,PData,2,0)</f>
        <v>56</v>
      </c>
      <c r="G43" s="17">
        <f>VLOOKUP(A43,EData,6,0)</f>
        <v>0.46542627048042201</v>
      </c>
    </row>
    <row r="44" spans="1:7" x14ac:dyDescent="0.25">
      <c r="A44" t="str">
        <f>Break!A44</f>
        <v>Hyd_Kamini Kumar (1008554)</v>
      </c>
      <c r="B44" t="str">
        <f t="shared" si="0"/>
        <v>Kamini Kumar</v>
      </c>
      <c r="C44" s="14">
        <f>TIMEVALUE(VLOOKUP(A44,EData,2,0))</f>
        <v>0.2094560185185185</v>
      </c>
      <c r="D44" s="14">
        <f>TIMEVALUE(VLOOKUP(A44,EData,3,0))</f>
        <v>0.13993055555555556</v>
      </c>
      <c r="E44" s="14">
        <f>TIMEVALUE(VLOOKUP(A44,BData,9,0))</f>
        <v>1.0416666666666666E-2</v>
      </c>
      <c r="F44">
        <f>VLOOKUP(A44,PData,2,0)</f>
        <v>55</v>
      </c>
      <c r="G44" s="17">
        <f>VLOOKUP(A44,EData,6,0)</f>
        <v>0.64380836602751801</v>
      </c>
    </row>
    <row r="45" spans="1:7" x14ac:dyDescent="0.25">
      <c r="A45" t="str">
        <f>Break!A45</f>
        <v>Hyd_Kamini Tiwari (1008555)</v>
      </c>
      <c r="B45" t="str">
        <f t="shared" si="0"/>
        <v>Kamini Tiwari</v>
      </c>
      <c r="C45" s="14">
        <f>TIMEVALUE(VLOOKUP(A45,EData,2,0))</f>
        <v>0.35192129629629632</v>
      </c>
      <c r="D45" s="14">
        <f>TIMEVALUE(VLOOKUP(A45,EData,3,0))</f>
        <v>0.22140046296296298</v>
      </c>
      <c r="E45" s="14">
        <f>TIMEVALUE(VLOOKUP(A45,BData,9,0))</f>
        <v>4.8437500000000001E-2</v>
      </c>
      <c r="F45">
        <f>VLOOKUP(A45,PData,2,0)</f>
        <v>54</v>
      </c>
      <c r="G45" s="17">
        <f>VLOOKUP(A45,EData,6,0)</f>
        <v>0.57347234098533195</v>
      </c>
    </row>
    <row r="46" spans="1:7" x14ac:dyDescent="0.25">
      <c r="A46" t="str">
        <f>Break!A46</f>
        <v>Hyd_Kavita Sharma (1008556)</v>
      </c>
      <c r="B46" t="str">
        <f t="shared" si="0"/>
        <v>Kavita Sharma</v>
      </c>
      <c r="C46" s="14">
        <f>TIMEVALUE(VLOOKUP(A46,EData,2,0))</f>
        <v>0.32876157407407408</v>
      </c>
      <c r="D46" s="14">
        <f>TIMEVALUE(VLOOKUP(A46,EData,3,0))</f>
        <v>0.22660879629629629</v>
      </c>
      <c r="E46" s="14">
        <f>TIMEVALUE(VLOOKUP(A46,BData,9,0))</f>
        <v>3.9108796296296301E-2</v>
      </c>
      <c r="F46">
        <f>VLOOKUP(A46,PData,2,0)</f>
        <v>53</v>
      </c>
      <c r="G46" s="17">
        <f>VLOOKUP(A46,EData,6,0)</f>
        <v>0.64717479317021698</v>
      </c>
    </row>
    <row r="47" spans="1:7" x14ac:dyDescent="0.25">
      <c r="A47" t="str">
        <f>Break!A47</f>
        <v>Hyd_Kiran Khubchandani (1008557)</v>
      </c>
      <c r="B47" t="str">
        <f t="shared" si="0"/>
        <v>Kiran Khubchandani</v>
      </c>
      <c r="C47" s="14">
        <f>TIMEVALUE(VLOOKUP(A47,EData,2,0))</f>
        <v>0.33435185185185184</v>
      </c>
      <c r="D47" s="14">
        <f>TIMEVALUE(VLOOKUP(A47,EData,3,0))</f>
        <v>0.17586805555555554</v>
      </c>
      <c r="E47" s="14">
        <f>TIMEVALUE(VLOOKUP(A47,BData,9,0))</f>
        <v>9.0555555555555556E-2</v>
      </c>
      <c r="F47">
        <f>VLOOKUP(A47,PData,2,0)</f>
        <v>52</v>
      </c>
      <c r="G47" s="17">
        <f>VLOOKUP(A47,EData,6,0)</f>
        <v>0.50443090556632497</v>
      </c>
    </row>
    <row r="48" spans="1:7" x14ac:dyDescent="0.25">
      <c r="A48" t="str">
        <f>Break!A48</f>
        <v>Hyd_Kisun Sah (1008558)</v>
      </c>
      <c r="B48" t="str">
        <f t="shared" si="0"/>
        <v>Kisun Sah</v>
      </c>
      <c r="C48" s="14">
        <f>TIMEVALUE(VLOOKUP(A48,EData,2,0))</f>
        <v>0.34831018518518514</v>
      </c>
      <c r="D48" s="14">
        <f>TIMEVALUE(VLOOKUP(A48,EData,3,0))</f>
        <v>0.21436342592592594</v>
      </c>
      <c r="E48" s="14">
        <f>TIMEVALUE(VLOOKUP(A48,BData,9,0))</f>
        <v>4.8240740740740744E-2</v>
      </c>
      <c r="F48">
        <f>VLOOKUP(A48,PData,2,0)</f>
        <v>51</v>
      </c>
      <c r="G48" s="17">
        <f>VLOOKUP(A48,EData,6,0)</f>
        <v>0.55280122283511701</v>
      </c>
    </row>
    <row r="49" spans="1:7" x14ac:dyDescent="0.25">
      <c r="A49" t="str">
        <f>Break!A49</f>
        <v>Hyd_Krishana Kumar (1008559)</v>
      </c>
      <c r="B49" t="str">
        <f t="shared" si="0"/>
        <v>Krishana Kumar</v>
      </c>
      <c r="C49" s="14">
        <f>TIMEVALUE(VLOOKUP(A49,EData,2,0))</f>
        <v>0.34407407407407403</v>
      </c>
      <c r="D49" s="14">
        <f>TIMEVALUE(VLOOKUP(A49,EData,3,0))</f>
        <v>0.19798611111111111</v>
      </c>
      <c r="E49" s="14">
        <f>TIMEVALUE(VLOOKUP(A49,BData,9,0))</f>
        <v>4.8437500000000001E-2</v>
      </c>
      <c r="F49">
        <f>VLOOKUP(A49,PData,2,0)</f>
        <v>50</v>
      </c>
      <c r="G49" s="17">
        <f>VLOOKUP(A49,EData,6,0)</f>
        <v>0.55493137782561897</v>
      </c>
    </row>
    <row r="50" spans="1:7" x14ac:dyDescent="0.25">
      <c r="A50" t="str">
        <f>Break!A50</f>
        <v>Hyd_Kunj Bihari (1008560)</v>
      </c>
      <c r="B50" t="str">
        <f t="shared" si="0"/>
        <v>Kunj Bihari</v>
      </c>
      <c r="C50" s="14">
        <f>TIMEVALUE(VLOOKUP(A50,EData,2,0))</f>
        <v>0.33285879629629628</v>
      </c>
      <c r="D50" s="14">
        <f>TIMEVALUE(VLOOKUP(A50,EData,3,0))</f>
        <v>0.19598379629629628</v>
      </c>
      <c r="E50" s="14">
        <f>TIMEVALUE(VLOOKUP(A50,BData,9,0))</f>
        <v>4.8738425925925921E-2</v>
      </c>
      <c r="F50">
        <f>VLOOKUP(A50,PData,2,0)</f>
        <v>49</v>
      </c>
      <c r="G50" s="17">
        <f>VLOOKUP(A50,EData,6,0)</f>
        <v>0.55217497131332804</v>
      </c>
    </row>
    <row r="51" spans="1:7" x14ac:dyDescent="0.25">
      <c r="A51" t="str">
        <f>Break!A51</f>
        <v>Hyd_Leena George (1008561)</v>
      </c>
      <c r="B51" t="str">
        <f t="shared" si="0"/>
        <v>Leena George</v>
      </c>
      <c r="C51" s="14">
        <f>TIMEVALUE(VLOOKUP(A51,EData,2,0))</f>
        <v>0.20570601851851852</v>
      </c>
      <c r="D51" s="14">
        <f>TIMEVALUE(VLOOKUP(A51,EData,3,0))</f>
        <v>0.13252314814814814</v>
      </c>
      <c r="E51" s="14">
        <f>TIMEVALUE(VLOOKUP(A51,BData,9,0))</f>
        <v>1.2615740740740742E-2</v>
      </c>
      <c r="F51">
        <f>VLOOKUP(A51,PData,2,0)</f>
        <v>48</v>
      </c>
      <c r="G51" s="17">
        <f>VLOOKUP(A51,EData,6,0)</f>
        <v>0.58819557756147001</v>
      </c>
    </row>
    <row r="52" spans="1:7" x14ac:dyDescent="0.25">
      <c r="A52" t="str">
        <f>Break!A52</f>
        <v>Hyd_Lilly Lucy (1008562)</v>
      </c>
      <c r="B52" t="str">
        <f t="shared" si="0"/>
        <v>Lilly Lucy</v>
      </c>
      <c r="C52" s="14">
        <f>TIMEVALUE(VLOOKUP(A52,EData,2,0))</f>
        <v>0.32318287037037036</v>
      </c>
      <c r="D52" s="14">
        <f>TIMEVALUE(VLOOKUP(A52,EData,3,0))</f>
        <v>0.19381944444444443</v>
      </c>
      <c r="E52" s="14">
        <f>TIMEVALUE(VLOOKUP(A52,BData,9,0))</f>
        <v>5.1898148148148145E-2</v>
      </c>
      <c r="F52">
        <f>VLOOKUP(A52,PData,2,0)</f>
        <v>47</v>
      </c>
      <c r="G52" s="17">
        <f>VLOOKUP(A52,EData,6,0)</f>
        <v>0.55534863732407003</v>
      </c>
    </row>
    <row r="53" spans="1:7" x14ac:dyDescent="0.25">
      <c r="A53" t="str">
        <f>Break!A53</f>
        <v>Hyd_Mangal Singh (1008563)</v>
      </c>
      <c r="B53" t="str">
        <f t="shared" si="0"/>
        <v>Mangal Singh</v>
      </c>
      <c r="C53" s="14">
        <f>TIMEVALUE(VLOOKUP(A53,EData,2,0))</f>
        <v>0.33348379629629626</v>
      </c>
      <c r="D53" s="14">
        <f>TIMEVALUE(VLOOKUP(A53,EData,3,0))</f>
        <v>0.19890046296296296</v>
      </c>
      <c r="E53" s="14">
        <f>TIMEVALUE(VLOOKUP(A53,BData,9,0))</f>
        <v>4.8657407407407406E-2</v>
      </c>
      <c r="F53">
        <f>VLOOKUP(A53,PData,2,0)</f>
        <v>46</v>
      </c>
      <c r="G53" s="17">
        <f>VLOOKUP(A53,EData,6,0)</f>
        <v>0.55815083469267301</v>
      </c>
    </row>
    <row r="54" spans="1:7" x14ac:dyDescent="0.25">
      <c r="A54" t="str">
        <f>Break!A54</f>
        <v>Hyd_Manisha Shrivastava (1008564)</v>
      </c>
      <c r="B54" t="str">
        <f t="shared" si="0"/>
        <v>Manisha Shrivastava</v>
      </c>
      <c r="C54" s="14">
        <f>TIMEVALUE(VLOOKUP(A54,EData,2,0))</f>
        <v>0.34015046296296297</v>
      </c>
      <c r="D54" s="14">
        <f>TIMEVALUE(VLOOKUP(A54,EData,3,0))</f>
        <v>0.20222222222222222</v>
      </c>
      <c r="E54" s="14">
        <f>TIMEVALUE(VLOOKUP(A54,BData,9,0))</f>
        <v>4.8715277777777781E-2</v>
      </c>
      <c r="F54">
        <f>VLOOKUP(A54,PData,2,0)</f>
        <v>45</v>
      </c>
      <c r="G54" s="17">
        <f>VLOOKUP(A54,EData,6,0)</f>
        <v>0.53002824185919895</v>
      </c>
    </row>
    <row r="55" spans="1:7" x14ac:dyDescent="0.25">
      <c r="A55" t="str">
        <f>Break!A55</f>
        <v>Hyd_Manjusha Sinha (1008565)</v>
      </c>
      <c r="B55" t="str">
        <f t="shared" si="0"/>
        <v>Manjusha Sinha</v>
      </c>
      <c r="C55" s="14">
        <f>TIMEVALUE(VLOOKUP(A55,EData,2,0))</f>
        <v>0.34311342592592592</v>
      </c>
      <c r="D55" s="14">
        <f>TIMEVALUE(VLOOKUP(A55,EData,3,0))</f>
        <v>0.21112268518518518</v>
      </c>
      <c r="E55" s="14">
        <f>TIMEVALUE(VLOOKUP(A55,BData,9,0))</f>
        <v>4.9062500000000002E-2</v>
      </c>
      <c r="F55">
        <f>VLOOKUP(A55,PData,2,0)</f>
        <v>44</v>
      </c>
      <c r="G55" s="17">
        <f>VLOOKUP(A55,EData,6,0)</f>
        <v>0.54639905548996504</v>
      </c>
    </row>
    <row r="56" spans="1:7" x14ac:dyDescent="0.25">
      <c r="A56" t="str">
        <f>Break!A56</f>
        <v>Hyd_ManjuTiwari Lab (1008566)</v>
      </c>
      <c r="B56" t="str">
        <f t="shared" si="0"/>
        <v>ManjuTiwari Lab</v>
      </c>
      <c r="C56" s="14">
        <f>TIMEVALUE(VLOOKUP(A56,EData,2,0))</f>
        <v>0.32046296296296295</v>
      </c>
      <c r="D56" s="14">
        <f>TIMEVALUE(VLOOKUP(A56,EData,3,0))</f>
        <v>0.18484953703703702</v>
      </c>
      <c r="E56" s="14">
        <f>TIMEVALUE(VLOOKUP(A56,BData,9,0))</f>
        <v>4.9143518518518524E-2</v>
      </c>
      <c r="F56">
        <f>VLOOKUP(A56,PData,2,0)</f>
        <v>43</v>
      </c>
      <c r="G56" s="17">
        <f>VLOOKUP(A56,EData,6,0)</f>
        <v>0.52849609939323905</v>
      </c>
    </row>
    <row r="57" spans="1:7" x14ac:dyDescent="0.25">
      <c r="A57" t="str">
        <f>Break!A57</f>
        <v>Hyd_Manoj Kumar (1008567)</v>
      </c>
      <c r="B57" t="str">
        <f t="shared" si="0"/>
        <v>Manoj Kumar</v>
      </c>
      <c r="C57" s="14">
        <f>TIMEVALUE(VLOOKUP(A57,EData,2,0))</f>
        <v>0.33384259259259258</v>
      </c>
      <c r="D57" s="14">
        <f>TIMEVALUE(VLOOKUP(A57,EData,3,0))</f>
        <v>0.1867824074074074</v>
      </c>
      <c r="E57" s="14">
        <f>TIMEVALUE(VLOOKUP(A57,BData,9,0))</f>
        <v>4.853009259259259E-2</v>
      </c>
      <c r="F57">
        <f>VLOOKUP(A57,PData,2,0)</f>
        <v>42</v>
      </c>
      <c r="G57" s="17">
        <f>VLOOKUP(A57,EData,6,0)</f>
        <v>0.53279711551795905</v>
      </c>
    </row>
    <row r="58" spans="1:7" x14ac:dyDescent="0.25">
      <c r="A58" t="str">
        <f>Break!A58</f>
        <v>Hyd_Manoj Kumar (1008568)</v>
      </c>
      <c r="B58" t="str">
        <f t="shared" si="0"/>
        <v>Manoj Kumar</v>
      </c>
      <c r="C58" s="14">
        <f>TIMEVALUE(VLOOKUP(A58,EData,2,0))</f>
        <v>0.33012731481481478</v>
      </c>
      <c r="D58" s="14">
        <f>TIMEVALUE(VLOOKUP(A58,EData,3,0))</f>
        <v>0.18739583333333332</v>
      </c>
      <c r="E58" s="14">
        <f>TIMEVALUE(VLOOKUP(A58,BData,9,0))</f>
        <v>5.2766203703703697E-2</v>
      </c>
      <c r="F58">
        <f>VLOOKUP(A58,PData,2,0)</f>
        <v>41</v>
      </c>
      <c r="G58" s="17">
        <f>VLOOKUP(A58,EData,6,0)</f>
        <v>0.53150089401535605</v>
      </c>
    </row>
    <row r="59" spans="1:7" x14ac:dyDescent="0.25">
      <c r="A59" t="str">
        <f>Break!A59</f>
        <v>Hyd_Masroor Adil (1008569)</v>
      </c>
      <c r="B59" t="str">
        <f t="shared" si="0"/>
        <v>Masroor Adil</v>
      </c>
      <c r="C59" s="14">
        <f>TIMEVALUE(VLOOKUP(A59,EData,2,0))</f>
        <v>0.34032407407407406</v>
      </c>
      <c r="D59" s="14">
        <f>TIMEVALUE(VLOOKUP(A59,EData,3,0))</f>
        <v>0.21151620370370372</v>
      </c>
      <c r="E59" s="14">
        <f>TIMEVALUE(VLOOKUP(A59,BData,9,0))</f>
        <v>4.9756944444444444E-2</v>
      </c>
      <c r="F59">
        <f>VLOOKUP(A59,PData,2,0)</f>
        <v>40</v>
      </c>
      <c r="G59" s="17">
        <f>VLOOKUP(A59,EData,6,0)</f>
        <v>0.58954564004897303</v>
      </c>
    </row>
    <row r="60" spans="1:7" x14ac:dyDescent="0.25">
      <c r="A60" t="str">
        <f>Break!A60</f>
        <v>Hyd_Meena Zinjare (1008570)</v>
      </c>
      <c r="B60" t="str">
        <f t="shared" si="0"/>
        <v>Meena Zinjare</v>
      </c>
      <c r="C60" s="14">
        <f>TIMEVALUE(VLOOKUP(A60,EData,2,0))</f>
        <v>0.33714120370370365</v>
      </c>
      <c r="D60" s="14">
        <f>TIMEVALUE(VLOOKUP(A60,EData,3,0))</f>
        <v>0.13162037037037036</v>
      </c>
      <c r="E60" s="14">
        <f>TIMEVALUE(VLOOKUP(A60,BData,9,0))</f>
        <v>0.14913194444444444</v>
      </c>
      <c r="F60">
        <f>VLOOKUP(A60,PData,2,0)</f>
        <v>39</v>
      </c>
      <c r="G60" s="17">
        <f>VLOOKUP(A60,EData,6,0)</f>
        <v>0.34903360911806097</v>
      </c>
    </row>
    <row r="61" spans="1:7" x14ac:dyDescent="0.25">
      <c r="A61" t="str">
        <f>Break!A61</f>
        <v>Hyd_Mehnaz Khan (1008571)</v>
      </c>
      <c r="B61" t="str">
        <f t="shared" si="0"/>
        <v>Mehnaz Khan</v>
      </c>
      <c r="C61" s="14">
        <f>TIMEVALUE(VLOOKUP(A61,EData,2,0))</f>
        <v>0.34364583333333337</v>
      </c>
      <c r="D61" s="14">
        <f>TIMEVALUE(VLOOKUP(A61,EData,3,0))</f>
        <v>0.17246527777777776</v>
      </c>
      <c r="E61" s="14">
        <f>TIMEVALUE(VLOOKUP(A61,BData,9,0))</f>
        <v>9.194444444444444E-2</v>
      </c>
      <c r="F61">
        <f>VLOOKUP(A61,PData,2,0)</f>
        <v>38</v>
      </c>
      <c r="G61" s="17">
        <f>VLOOKUP(A61,EData,6,0)</f>
        <v>0.47933717288067101</v>
      </c>
    </row>
    <row r="62" spans="1:7" x14ac:dyDescent="0.25">
      <c r="A62" t="str">
        <f>Break!A62</f>
        <v>Hyd_Mercy Thampi (1008572)</v>
      </c>
      <c r="B62" t="str">
        <f t="shared" si="0"/>
        <v>Mercy Thampi</v>
      </c>
      <c r="C62" s="14">
        <f>TIMEVALUE(VLOOKUP(A62,EData,2,0))</f>
        <v>0.21915509259259258</v>
      </c>
      <c r="D62" s="14">
        <f>TIMEVALUE(VLOOKUP(A62,EData,3,0))</f>
        <v>0.15189814814814814</v>
      </c>
      <c r="E62" s="14">
        <f>TIMEVALUE(VLOOKUP(A62,BData,9,0))</f>
        <v>1.082175925925926E-2</v>
      </c>
      <c r="F62">
        <f>VLOOKUP(A62,PData,2,0)</f>
        <v>37</v>
      </c>
      <c r="G62" s="17">
        <f>VLOOKUP(A62,EData,6,0)</f>
        <v>0.62762080802746201</v>
      </c>
    </row>
    <row r="63" spans="1:7" x14ac:dyDescent="0.25">
      <c r="A63" t="str">
        <f>Break!A63</f>
        <v>Hyd_Miny Mole (1008573)</v>
      </c>
      <c r="B63" t="str">
        <f t="shared" si="0"/>
        <v>Miny Mole</v>
      </c>
      <c r="C63" s="14">
        <f>TIMEVALUE(VLOOKUP(A63,EData,2,0))</f>
        <v>0.3417824074074074</v>
      </c>
      <c r="D63" s="14">
        <f>TIMEVALUE(VLOOKUP(A63,EData,3,0))</f>
        <v>0.17645833333333336</v>
      </c>
      <c r="E63" s="14">
        <f>TIMEVALUE(VLOOKUP(A63,BData,9,0))</f>
        <v>9.2442129629629624E-2</v>
      </c>
      <c r="F63">
        <f>VLOOKUP(A63,PData,2,0)</f>
        <v>36</v>
      </c>
      <c r="G63" s="17">
        <f>VLOOKUP(A63,EData,6,0)</f>
        <v>0.47561801557737898</v>
      </c>
    </row>
    <row r="64" spans="1:7" x14ac:dyDescent="0.25">
      <c r="A64" t="str">
        <f>Break!A64</f>
        <v>Hyd_Mohd Rafi (1008574)</v>
      </c>
      <c r="B64" t="str">
        <f t="shared" si="0"/>
        <v>Mohd Rafi</v>
      </c>
      <c r="C64" s="14">
        <f>TIMEVALUE(VLOOKUP(A64,EData,2,0))</f>
        <v>0.33370370370370367</v>
      </c>
      <c r="D64" s="14">
        <f>TIMEVALUE(VLOOKUP(A64,EData,3,0))</f>
        <v>0.16336805555555556</v>
      </c>
      <c r="E64" s="14">
        <f>TIMEVALUE(VLOOKUP(A64,BData,9,0))</f>
        <v>0.11005787037037036</v>
      </c>
      <c r="F64">
        <f>VLOOKUP(A64,PData,2,0)</f>
        <v>35</v>
      </c>
      <c r="G64" s="17">
        <f>VLOOKUP(A64,EData,6,0)</f>
        <v>0.43635543840177599</v>
      </c>
    </row>
    <row r="65" spans="1:7" x14ac:dyDescent="0.25">
      <c r="A65" t="str">
        <f>Break!A65</f>
        <v>Hyd_Mubeen Khan (1008575)</v>
      </c>
      <c r="B65" t="str">
        <f t="shared" si="0"/>
        <v>Mubeen Khan</v>
      </c>
      <c r="C65" s="14">
        <f>TIMEVALUE(VLOOKUP(A65,EData,2,0))</f>
        <v>0.33026620370370369</v>
      </c>
      <c r="D65" s="14">
        <f>TIMEVALUE(VLOOKUP(A65,EData,3,0))</f>
        <v>0.16021990740740741</v>
      </c>
      <c r="E65" s="14">
        <f>TIMEVALUE(VLOOKUP(A65,BData,9,0))</f>
        <v>0.10043981481481483</v>
      </c>
      <c r="F65">
        <f>VLOOKUP(A65,PData,2,0)</f>
        <v>34</v>
      </c>
      <c r="G65" s="17">
        <f>VLOOKUP(A65,EData,6,0)</f>
        <v>0.451270369721395</v>
      </c>
    </row>
    <row r="66" spans="1:7" x14ac:dyDescent="0.25">
      <c r="A66" t="str">
        <f>Break!A66</f>
        <v>Hyd_Mukesh Nagar (1008576)</v>
      </c>
      <c r="B66" t="str">
        <f t="shared" si="0"/>
        <v>Mukesh Nagar</v>
      </c>
      <c r="C66" s="14">
        <f>TIMEVALUE(VLOOKUP(A66,EData,2,0))</f>
        <v>0.20910879629629631</v>
      </c>
      <c r="D66" s="14">
        <f>TIMEVALUE(VLOOKUP(A66,EData,3,0))</f>
        <v>0.13449074074074074</v>
      </c>
      <c r="E66" s="14">
        <f>TIMEVALUE(VLOOKUP(A66,BData,9,0))</f>
        <v>2.0532407407407405E-2</v>
      </c>
      <c r="F66">
        <f>VLOOKUP(A66,PData,2,0)</f>
        <v>33</v>
      </c>
      <c r="G66" s="17">
        <f>VLOOKUP(A66,EData,6,0)</f>
        <v>0.61244257486024201</v>
      </c>
    </row>
    <row r="67" spans="1:7" x14ac:dyDescent="0.25">
      <c r="A67" t="str">
        <f>Break!A67</f>
        <v>Hyd_Nandu Kumar (1008577)</v>
      </c>
      <c r="B67" t="str">
        <f t="shared" ref="B67:B130" si="1">MID(A67,FIND("_",A67,1)+1,FIND("(",A67,1)-FIND("_",A67,1)-2)</f>
        <v>Nandu Kumar</v>
      </c>
      <c r="C67" s="14">
        <f>TIMEVALUE(VLOOKUP(A67,EData,2,0))</f>
        <v>0.34836805555555556</v>
      </c>
      <c r="D67" s="14">
        <f>TIMEVALUE(VLOOKUP(A67,EData,3,0))</f>
        <v>0.19697916666666668</v>
      </c>
      <c r="E67" s="14">
        <f>TIMEVALUE(VLOOKUP(A67,BData,9,0))</f>
        <v>5.1423611111111107E-2</v>
      </c>
      <c r="F67">
        <f>VLOOKUP(A67,PData,2,0)</f>
        <v>32</v>
      </c>
      <c r="G67" s="17">
        <f>VLOOKUP(A67,EData,6,0)</f>
        <v>0.51755872288115901</v>
      </c>
    </row>
    <row r="68" spans="1:7" x14ac:dyDescent="0.25">
      <c r="A68" t="str">
        <f>Break!A68</f>
        <v>Hyd_Narayan Singh (1008578)</v>
      </c>
      <c r="B68" t="str">
        <f t="shared" si="1"/>
        <v>Narayan Singh</v>
      </c>
      <c r="C68" s="14">
        <f>TIMEVALUE(VLOOKUP(A68,EData,2,0))</f>
        <v>0.34686342592592595</v>
      </c>
      <c r="D68" s="14">
        <f>TIMEVALUE(VLOOKUP(A68,EData,3,0))</f>
        <v>0.2043865740740741</v>
      </c>
      <c r="E68" s="14">
        <f>TIMEVALUE(VLOOKUP(A68,BData,9,0))</f>
        <v>4.7534722222222221E-2</v>
      </c>
      <c r="F68">
        <f>VLOOKUP(A68,PData,2,0)</f>
        <v>31</v>
      </c>
      <c r="G68" s="17">
        <f>VLOOKUP(A68,EData,6,0)</f>
        <v>0.55550735760285597</v>
      </c>
    </row>
    <row r="69" spans="1:7" x14ac:dyDescent="0.25">
      <c r="A69" t="str">
        <f>Break!A69</f>
        <v>Hyd_Neeraj Saxena (1008579)</v>
      </c>
      <c r="B69" t="str">
        <f t="shared" si="1"/>
        <v>Neeraj Saxena</v>
      </c>
      <c r="C69" s="14">
        <f>TIMEVALUE(VLOOKUP(A69,EData,2,0))</f>
        <v>0.3480671296296296</v>
      </c>
      <c r="D69" s="14">
        <f>TIMEVALUE(VLOOKUP(A69,EData,3,0))</f>
        <v>0.19177083333333333</v>
      </c>
      <c r="E69" s="14">
        <f>TIMEVALUE(VLOOKUP(A69,BData,9,0))</f>
        <v>9.3958333333333324E-2</v>
      </c>
      <c r="F69">
        <f>VLOOKUP(A69,PData,2,0)</f>
        <v>30</v>
      </c>
      <c r="G69" s="17">
        <f>VLOOKUP(A69,EData,6,0)</f>
        <v>0.45535862734013899</v>
      </c>
    </row>
    <row r="70" spans="1:7" x14ac:dyDescent="0.25">
      <c r="A70" t="str">
        <f>Break!A70</f>
        <v>Hyd_Neeru Mehta (1008580)</v>
      </c>
      <c r="B70" t="str">
        <f t="shared" si="1"/>
        <v>Neeru Mehta</v>
      </c>
      <c r="C70" s="14">
        <f>TIMEVALUE(VLOOKUP(A70,EData,2,0))</f>
        <v>0.33495370370370375</v>
      </c>
      <c r="D70" s="14">
        <f>TIMEVALUE(VLOOKUP(A70,EData,3,0))</f>
        <v>0.19739583333333333</v>
      </c>
      <c r="E70" s="14">
        <f>TIMEVALUE(VLOOKUP(A70,BData,9,0))</f>
        <v>4.8645833333333333E-2</v>
      </c>
      <c r="F70">
        <f>VLOOKUP(A70,PData,2,0)</f>
        <v>29</v>
      </c>
      <c r="G70" s="17">
        <f>VLOOKUP(A70,EData,6,0)</f>
        <v>0.53445058742225304</v>
      </c>
    </row>
    <row r="71" spans="1:7" x14ac:dyDescent="0.25">
      <c r="A71" t="str">
        <f>Break!A71</f>
        <v>Hyd_Nikita Panwalkar (1008581)</v>
      </c>
      <c r="B71" t="str">
        <f t="shared" si="1"/>
        <v>Nikita Panwalkar</v>
      </c>
      <c r="C71" s="14">
        <f>TIMEVALUE(VLOOKUP(A71,EData,2,0))</f>
        <v>0.34497685185185184</v>
      </c>
      <c r="D71" s="14">
        <f>TIMEVALUE(VLOOKUP(A71,EData,3,0))</f>
        <v>0.20746527777777779</v>
      </c>
      <c r="E71" s="14">
        <f>TIMEVALUE(VLOOKUP(A71,BData,9,0))</f>
        <v>6.7650462962962968E-2</v>
      </c>
      <c r="F71">
        <f>VLOOKUP(A71,PData,2,0)</f>
        <v>28</v>
      </c>
      <c r="G71" s="17">
        <f>VLOOKUP(A71,EData,6,0)</f>
        <v>0.55914916459773201</v>
      </c>
    </row>
    <row r="72" spans="1:7" x14ac:dyDescent="0.25">
      <c r="A72" t="str">
        <f>Break!A72</f>
        <v>Hyd_Nitin Bhatia (1008582)</v>
      </c>
      <c r="B72" t="str">
        <f t="shared" si="1"/>
        <v>Nitin Bhatia</v>
      </c>
      <c r="C72" s="14">
        <f>TIMEVALUE(VLOOKUP(A72,EData,2,0))</f>
        <v>0.33376157407407409</v>
      </c>
      <c r="D72" s="14">
        <f>TIMEVALUE(VLOOKUP(A72,EData,3,0))</f>
        <v>0.19787037037037036</v>
      </c>
      <c r="E72" s="14">
        <f>TIMEVALUE(VLOOKUP(A72,BData,9,0))</f>
        <v>4.853009259259259E-2</v>
      </c>
      <c r="F72">
        <f>VLOOKUP(A72,PData,2,0)</f>
        <v>29</v>
      </c>
      <c r="G72" s="17">
        <f>VLOOKUP(A72,EData,6,0)</f>
        <v>0.56847106148351101</v>
      </c>
    </row>
    <row r="73" spans="1:7" x14ac:dyDescent="0.25">
      <c r="A73" t="str">
        <f>Break!A73</f>
        <v>Hyd_Om Prakash (1008583)</v>
      </c>
      <c r="B73" t="str">
        <f t="shared" si="1"/>
        <v>Om Prakash</v>
      </c>
      <c r="C73" s="14">
        <f>TIMEVALUE(VLOOKUP(A73,EData,2,0))</f>
        <v>0.33037037037037037</v>
      </c>
      <c r="D73" s="14">
        <f>TIMEVALUE(VLOOKUP(A73,EData,3,0))</f>
        <v>0.1849652777777778</v>
      </c>
      <c r="E73" s="14">
        <f>TIMEVALUE(VLOOKUP(A73,BData,9,0))</f>
        <v>6.6701388888888893E-2</v>
      </c>
      <c r="F73">
        <f>VLOOKUP(A73,PData,2,0)</f>
        <v>30</v>
      </c>
      <c r="G73" s="17">
        <f>VLOOKUP(A73,EData,6,0)</f>
        <v>0.47509108744394601</v>
      </c>
    </row>
    <row r="74" spans="1:7" x14ac:dyDescent="0.25">
      <c r="A74" t="str">
        <f>Break!A74</f>
        <v>Hyd_Omprakash O (1008584)</v>
      </c>
      <c r="B74" t="str">
        <f t="shared" si="1"/>
        <v>Omprakash O</v>
      </c>
      <c r="C74" s="14">
        <f>TIMEVALUE(VLOOKUP(A74,EData,2,0))</f>
        <v>0.34008101851851852</v>
      </c>
      <c r="D74" s="14">
        <f>TIMEVALUE(VLOOKUP(A74,EData,3,0))</f>
        <v>0.16811342592592593</v>
      </c>
      <c r="E74" s="14">
        <f>TIMEVALUE(VLOOKUP(A74,BData,9,0))</f>
        <v>9.1597222222222219E-2</v>
      </c>
      <c r="F74">
        <f>VLOOKUP(A74,PData,2,0)</f>
        <v>31</v>
      </c>
      <c r="G74" s="17">
        <f>VLOOKUP(A74,EData,6,0)</f>
        <v>0.47578531804104401</v>
      </c>
    </row>
    <row r="75" spans="1:7" x14ac:dyDescent="0.25">
      <c r="A75" t="str">
        <f>Break!A75</f>
        <v>Hyd_Owais Mohd (1008585)</v>
      </c>
      <c r="B75" t="str">
        <f t="shared" si="1"/>
        <v>Owais Mohd</v>
      </c>
      <c r="C75" s="14">
        <f>TIMEVALUE(VLOOKUP(A75,EData,2,0))</f>
        <v>0.33415509259259263</v>
      </c>
      <c r="D75" s="14">
        <f>TIMEVALUE(VLOOKUP(A75,EData,3,0))</f>
        <v>0.16863425925925926</v>
      </c>
      <c r="E75" s="14">
        <f>TIMEVALUE(VLOOKUP(A75,BData,9,0))</f>
        <v>0.10168981481481482</v>
      </c>
      <c r="F75">
        <f>VLOOKUP(A75,PData,2,0)</f>
        <v>32</v>
      </c>
      <c r="G75" s="17">
        <f>VLOOKUP(A75,EData,6,0)</f>
        <v>0.46898271622042897</v>
      </c>
    </row>
    <row r="76" spans="1:7" x14ac:dyDescent="0.25">
      <c r="A76" t="str">
        <f>Break!A76</f>
        <v>Hyd_Pankaj Shelkey (1008586)</v>
      </c>
      <c r="B76" t="str">
        <f t="shared" si="1"/>
        <v>Pankaj Shelkey</v>
      </c>
      <c r="C76" s="14">
        <f>TIMEVALUE(VLOOKUP(A76,EData,2,0))</f>
        <v>0.34437500000000004</v>
      </c>
      <c r="D76" s="14">
        <f>TIMEVALUE(VLOOKUP(A76,EData,3,0))</f>
        <v>0.18534722222222222</v>
      </c>
      <c r="E76" s="14">
        <f>TIMEVALUE(VLOOKUP(A76,BData,9,0))</f>
        <v>8.0162037037037046E-2</v>
      </c>
      <c r="F76">
        <f>VLOOKUP(A76,PData,2,0)</f>
        <v>33</v>
      </c>
      <c r="G76" s="17">
        <f>VLOOKUP(A76,EData,6,0)</f>
        <v>0.51361161524500898</v>
      </c>
    </row>
    <row r="77" spans="1:7" x14ac:dyDescent="0.25">
      <c r="A77" t="str">
        <f>Break!A77</f>
        <v>Hyd_Partha Sarathi (1008587)</v>
      </c>
      <c r="B77" t="str">
        <f t="shared" si="1"/>
        <v>Partha Sarathi</v>
      </c>
      <c r="C77" s="14">
        <f>TIMEVALUE(VLOOKUP(A77,EData,2,0))</f>
        <v>0.3558101851851852</v>
      </c>
      <c r="D77" s="14">
        <f>TIMEVALUE(VLOOKUP(A77,EData,3,0))</f>
        <v>0.21642361111111111</v>
      </c>
      <c r="E77" s="14">
        <f>TIMEVALUE(VLOOKUP(A77,BData,9,0))</f>
        <v>6.8541666666666667E-2</v>
      </c>
      <c r="F77">
        <f>VLOOKUP(A77,PData,2,0)</f>
        <v>34</v>
      </c>
      <c r="G77" s="17">
        <f>VLOOKUP(A77,EData,6,0)</f>
        <v>0.525112224318522</v>
      </c>
    </row>
    <row r="78" spans="1:7" x14ac:dyDescent="0.25">
      <c r="A78" t="str">
        <f>Break!A78</f>
        <v>Hyd_Prabha Desikan (1008588)</v>
      </c>
      <c r="B78" t="str">
        <f t="shared" si="1"/>
        <v>Prabha Desikan</v>
      </c>
      <c r="C78" s="14">
        <f>TIMEVALUE(VLOOKUP(A78,EData,2,0))</f>
        <v>0.34848379629629633</v>
      </c>
      <c r="D78" s="14">
        <f>TIMEVALUE(VLOOKUP(A78,EData,3,0))</f>
        <v>0.12767361111111111</v>
      </c>
      <c r="E78" s="14">
        <f>TIMEVALUE(VLOOKUP(A78,BData,9,0))</f>
        <v>0.17460648148148147</v>
      </c>
      <c r="F78">
        <f>VLOOKUP(A78,PData,2,0)</f>
        <v>35</v>
      </c>
      <c r="G78" s="17">
        <f>VLOOKUP(A78,EData,6,0)</f>
        <v>0.348600086352918</v>
      </c>
    </row>
    <row r="79" spans="1:7" x14ac:dyDescent="0.25">
      <c r="A79" t="str">
        <f>Break!A79</f>
        <v>Hyd_Pramod Tiwari (1008589)</v>
      </c>
      <c r="B79" t="str">
        <f t="shared" si="1"/>
        <v>Pramod Tiwari</v>
      </c>
      <c r="C79" s="14">
        <f>TIMEVALUE(VLOOKUP(A79,EData,2,0))</f>
        <v>0.35092592592592592</v>
      </c>
      <c r="D79" s="14">
        <f>TIMEVALUE(VLOOKUP(A79,EData,3,0))</f>
        <v>0.12086805555555556</v>
      </c>
      <c r="E79" s="14">
        <f>TIMEVALUE(VLOOKUP(A79,BData,9,0))</f>
        <v>0.18131944444444445</v>
      </c>
      <c r="F79">
        <f>VLOOKUP(A79,PData,2,0)</f>
        <v>36</v>
      </c>
      <c r="G79" s="17">
        <f>VLOOKUP(A79,EData,6,0)</f>
        <v>0.314709762532982</v>
      </c>
    </row>
    <row r="80" spans="1:7" x14ac:dyDescent="0.25">
      <c r="A80" t="str">
        <f>Break!A80</f>
        <v>Hyd_Prasannakumari S (1008590)</v>
      </c>
      <c r="B80" t="str">
        <f t="shared" si="1"/>
        <v>Prasannakumari S</v>
      </c>
      <c r="C80" s="14">
        <f>TIMEVALUE(VLOOKUP(A80,EData,2,0))</f>
        <v>0.33891203703703704</v>
      </c>
      <c r="D80" s="14">
        <f>TIMEVALUE(VLOOKUP(A80,EData,3,0))</f>
        <v>0.21581018518518516</v>
      </c>
      <c r="E80" s="14">
        <f>TIMEVALUE(VLOOKUP(A80,BData,9,0))</f>
        <v>4.8900462962962965E-2</v>
      </c>
      <c r="F80">
        <f>VLOOKUP(A80,PData,2,0)</f>
        <v>37</v>
      </c>
      <c r="G80" s="17">
        <f>VLOOKUP(A80,EData,6,0)</f>
        <v>0.55600710333993597</v>
      </c>
    </row>
    <row r="81" spans="1:7" x14ac:dyDescent="0.25">
      <c r="A81" t="str">
        <f>Break!A81</f>
        <v>Hyd_Praveen Kumar (1008591)</v>
      </c>
      <c r="B81" t="str">
        <f t="shared" si="1"/>
        <v>Praveen Kumar</v>
      </c>
      <c r="C81" s="14">
        <f>TIMEVALUE(VLOOKUP(A81,EData,2,0))</f>
        <v>0.34675925925925927</v>
      </c>
      <c r="D81" s="14">
        <f>TIMEVALUE(VLOOKUP(A81,EData,3,0))</f>
        <v>0.17275462962962962</v>
      </c>
      <c r="E81" s="14">
        <f>TIMEVALUE(VLOOKUP(A81,BData,9,0))</f>
        <v>0.10935185185185185</v>
      </c>
      <c r="F81">
        <f>VLOOKUP(A81,PData,2,0)</f>
        <v>38</v>
      </c>
      <c r="G81" s="17">
        <f>VLOOKUP(A81,EData,6,0)</f>
        <v>0.46221628838451301</v>
      </c>
    </row>
    <row r="82" spans="1:7" x14ac:dyDescent="0.25">
      <c r="A82" t="str">
        <f>Break!A82</f>
        <v>Hyd_Rachel Mathew (1008592)</v>
      </c>
      <c r="B82" t="str">
        <f t="shared" si="1"/>
        <v>Rachel Mathew</v>
      </c>
      <c r="C82" s="14">
        <f>TIMEVALUE(VLOOKUP(A82,EData,2,0))</f>
        <v>0.3511111111111111</v>
      </c>
      <c r="D82" s="14">
        <f>TIMEVALUE(VLOOKUP(A82,EData,3,0))</f>
        <v>0.15339120370370371</v>
      </c>
      <c r="E82" s="14">
        <f>TIMEVALUE(VLOOKUP(A82,BData,9,0))</f>
        <v>0.13890046296296296</v>
      </c>
      <c r="F82">
        <f>VLOOKUP(A82,PData,2,0)</f>
        <v>39</v>
      </c>
      <c r="G82" s="17">
        <f>VLOOKUP(A82,EData,6,0)</f>
        <v>0.39075685654008402</v>
      </c>
    </row>
    <row r="83" spans="1:7" x14ac:dyDescent="0.25">
      <c r="A83" t="str">
        <f>Break!A83</f>
        <v>Hyd_Rachita Anupam (1008593)</v>
      </c>
      <c r="B83" t="str">
        <f t="shared" si="1"/>
        <v>Rachita Anupam</v>
      </c>
      <c r="C83" s="14">
        <f>TIMEVALUE(VLOOKUP(A83,EData,2,0))</f>
        <v>0.3447453703703704</v>
      </c>
      <c r="D83" s="14">
        <f>TIMEVALUE(VLOOKUP(A83,EData,3,0))</f>
        <v>0.21947916666666667</v>
      </c>
      <c r="E83" s="14">
        <f>TIMEVALUE(VLOOKUP(A83,BData,9,0))</f>
        <v>4.7592592592592596E-2</v>
      </c>
      <c r="F83">
        <f>VLOOKUP(A83,PData,2,0)</f>
        <v>40</v>
      </c>
      <c r="G83" s="17">
        <f>VLOOKUP(A83,EData,6,0)</f>
        <v>0.54713623850130899</v>
      </c>
    </row>
    <row r="84" spans="1:7" x14ac:dyDescent="0.25">
      <c r="A84" t="str">
        <f>Break!A84</f>
        <v>Hyd_Rachna Chauhan (1008594)</v>
      </c>
      <c r="B84" t="str">
        <f t="shared" si="1"/>
        <v>Rachna Chauhan</v>
      </c>
      <c r="C84" s="14">
        <f>TIMEVALUE(VLOOKUP(A84,EData,2,0))</f>
        <v>0.3167476851851852</v>
      </c>
      <c r="D84" s="14">
        <f>TIMEVALUE(VLOOKUP(A84,EData,3,0))</f>
        <v>0.21346064814814814</v>
      </c>
      <c r="E84" s="14">
        <f>TIMEVALUE(VLOOKUP(A84,BData,9,0))</f>
        <v>2.1064814814814814E-2</v>
      </c>
      <c r="F84">
        <f>VLOOKUP(A84,PData,2,0)</f>
        <v>41</v>
      </c>
      <c r="G84" s="17">
        <f>VLOOKUP(A84,EData,6,0)</f>
        <v>0.61457229509993805</v>
      </c>
    </row>
    <row r="85" spans="1:7" x14ac:dyDescent="0.25">
      <c r="A85" t="str">
        <f>Break!A85</f>
        <v>Hyd_Raj Kumar (1008595)</v>
      </c>
      <c r="B85" t="str">
        <f t="shared" si="1"/>
        <v>Raj Kumar</v>
      </c>
      <c r="C85" s="14">
        <f>TIMEVALUE(VLOOKUP(A85,EData,2,0))</f>
        <v>0.34024305555555556</v>
      </c>
      <c r="D85" s="14">
        <f>TIMEVALUE(VLOOKUP(A85,EData,3,0))</f>
        <v>0.21100694444444446</v>
      </c>
      <c r="E85" s="14">
        <f>TIMEVALUE(VLOOKUP(A85,BData,9,0))</f>
        <v>4.7731481481481486E-2</v>
      </c>
      <c r="F85">
        <f>VLOOKUP(A85,PData,2,0)</f>
        <v>42</v>
      </c>
      <c r="G85" s="17">
        <f>VLOOKUP(A85,EData,6,0)</f>
        <v>0.55335578460387103</v>
      </c>
    </row>
    <row r="86" spans="1:7" x14ac:dyDescent="0.25">
      <c r="A86" t="str">
        <f>Break!A86</f>
        <v>Hyd_Rajeev Garg (1008596)</v>
      </c>
      <c r="B86" t="str">
        <f t="shared" si="1"/>
        <v>Rajeev Garg</v>
      </c>
      <c r="C86" s="14">
        <f>TIMEVALUE(VLOOKUP(A86,EData,2,0))</f>
        <v>0.33611111111111108</v>
      </c>
      <c r="D86" s="14">
        <f>TIMEVALUE(VLOOKUP(A86,EData,3,0))</f>
        <v>0.21214120370370371</v>
      </c>
      <c r="E86" s="14">
        <f>TIMEVALUE(VLOOKUP(A86,BData,9,0))</f>
        <v>4.7500000000000007E-2</v>
      </c>
      <c r="F86">
        <f>VLOOKUP(A86,PData,2,0)</f>
        <v>43</v>
      </c>
      <c r="G86" s="17">
        <f>VLOOKUP(A86,EData,6,0)</f>
        <v>0.611363636363636</v>
      </c>
    </row>
    <row r="87" spans="1:7" x14ac:dyDescent="0.25">
      <c r="A87" t="str">
        <f>Break!A87</f>
        <v>Hyd_Rajeev Kumar (1008597)</v>
      </c>
      <c r="B87" t="str">
        <f t="shared" si="1"/>
        <v>Rajeev Kumar</v>
      </c>
      <c r="C87" s="14">
        <f>TIMEVALUE(VLOOKUP(A87,EData,2,0))</f>
        <v>0.3331365740740741</v>
      </c>
      <c r="D87" s="14">
        <f>TIMEVALUE(VLOOKUP(A87,EData,3,0))</f>
        <v>0.18670138888888888</v>
      </c>
      <c r="E87" s="14">
        <f>TIMEVALUE(VLOOKUP(A87,BData,9,0))</f>
        <v>6.7430555555555563E-2</v>
      </c>
      <c r="F87">
        <f>VLOOKUP(A87,PData,2,0)</f>
        <v>44</v>
      </c>
      <c r="G87" s="17">
        <f>VLOOKUP(A87,EData,6,0)</f>
        <v>0.51217732689434703</v>
      </c>
    </row>
    <row r="88" spans="1:7" x14ac:dyDescent="0.25">
      <c r="A88" t="str">
        <f>Break!A88</f>
        <v>Hyd_Rajendra Gupta (1008598)</v>
      </c>
      <c r="B88" t="str">
        <f t="shared" si="1"/>
        <v>Rajendra Gupta</v>
      </c>
      <c r="C88" s="14">
        <f>TIMEVALUE(VLOOKUP(A88,EData,2,0))</f>
        <v>0.35135416666666663</v>
      </c>
      <c r="D88" s="14">
        <f>TIMEVALUE(VLOOKUP(A88,EData,3,0))</f>
        <v>0.20708333333333331</v>
      </c>
      <c r="E88" s="14">
        <f>TIMEVALUE(VLOOKUP(A88,BData,9,0))</f>
        <v>5.4953703703703706E-2</v>
      </c>
      <c r="F88">
        <f>VLOOKUP(A88,PData,2,0)</f>
        <v>45</v>
      </c>
      <c r="G88" s="17">
        <f>VLOOKUP(A88,EData,6,0)</f>
        <v>0.56029910728991705</v>
      </c>
    </row>
    <row r="89" spans="1:7" x14ac:dyDescent="0.25">
      <c r="A89" t="str">
        <f>Break!A89</f>
        <v>Hyd_Rajendra Kumar (1008599)</v>
      </c>
      <c r="B89" t="str">
        <f t="shared" si="1"/>
        <v>Rajendra Kumar</v>
      </c>
      <c r="C89" s="14">
        <f>TIMEVALUE(VLOOKUP(A89,EData,2,0))</f>
        <v>0.34356481481481477</v>
      </c>
      <c r="D89" s="14">
        <f>TIMEVALUE(VLOOKUP(A89,EData,3,0))</f>
        <v>0.16344907407407408</v>
      </c>
      <c r="E89" s="14">
        <f>TIMEVALUE(VLOOKUP(A89,BData,9,0))</f>
        <v>0.10712962962962963</v>
      </c>
      <c r="F89">
        <f>VLOOKUP(A89,PData,2,0)</f>
        <v>46</v>
      </c>
      <c r="G89" s="17">
        <f>VLOOKUP(A89,EData,6,0)</f>
        <v>0.42891793558819602</v>
      </c>
    </row>
    <row r="90" spans="1:7" x14ac:dyDescent="0.25">
      <c r="A90" t="str">
        <f>Break!A90</f>
        <v>Hyd_Rajendra Prasad (1008600)</v>
      </c>
      <c r="B90" t="str">
        <f t="shared" si="1"/>
        <v>Rajendra Prasad</v>
      </c>
      <c r="C90" s="14">
        <f>TIMEVALUE(VLOOKUP(A90,EData,2,0))</f>
        <v>0.34900462962962964</v>
      </c>
      <c r="D90" s="14">
        <f>TIMEVALUE(VLOOKUP(A90,EData,3,0))</f>
        <v>3.3715277777777775E-2</v>
      </c>
      <c r="E90" s="14">
        <f>TIMEVALUE(VLOOKUP(A90,BData,9,0))</f>
        <v>0.29744212962962963</v>
      </c>
      <c r="F90">
        <f>VLOOKUP(A90,PData,2,0)</f>
        <v>47</v>
      </c>
      <c r="G90" s="17">
        <f>VLOOKUP(A90,EData,6,0)</f>
        <v>9.4547987000066294E-2</v>
      </c>
    </row>
    <row r="91" spans="1:7" x14ac:dyDescent="0.25">
      <c r="A91" t="str">
        <f>Break!A91</f>
        <v>Hyd_Rajesh Kumar (1008601)</v>
      </c>
      <c r="B91" t="str">
        <f t="shared" si="1"/>
        <v>Rajesh Kumar</v>
      </c>
      <c r="C91" s="14">
        <f>TIMEVALUE(VLOOKUP(A91,EData,2,0))</f>
        <v>0.33378472222222227</v>
      </c>
      <c r="D91" s="14">
        <f>TIMEVALUE(VLOOKUP(A91,EData,3,0))</f>
        <v>0.21655092592592592</v>
      </c>
      <c r="E91" s="14">
        <f>TIMEVALUE(VLOOKUP(A91,BData,9,0))</f>
        <v>5.004629629629629E-2</v>
      </c>
      <c r="F91">
        <f>VLOOKUP(A91,PData,2,0)</f>
        <v>48</v>
      </c>
      <c r="G91" s="17">
        <f>VLOOKUP(A91,EData,6,0)</f>
        <v>0.61021533340268397</v>
      </c>
    </row>
    <row r="92" spans="1:7" x14ac:dyDescent="0.25">
      <c r="A92" t="str">
        <f>Break!A92</f>
        <v>Hyd_Rajesh Kumar (1008602)</v>
      </c>
      <c r="B92" t="str">
        <f t="shared" si="1"/>
        <v>Rajesh Kumar</v>
      </c>
      <c r="C92" s="14">
        <f>TIMEVALUE(VLOOKUP(A92,EData,2,0))</f>
        <v>0.34559027777777779</v>
      </c>
      <c r="D92" s="14">
        <f>TIMEVALUE(VLOOKUP(A92,EData,3,0))</f>
        <v>0.2011574074074074</v>
      </c>
      <c r="E92" s="14">
        <f>TIMEVALUE(VLOOKUP(A92,BData,9,0))</f>
        <v>8.790509259259259E-2</v>
      </c>
      <c r="F92">
        <f>VLOOKUP(A92,PData,2,0)</f>
        <v>49</v>
      </c>
      <c r="G92" s="17">
        <f>VLOOKUP(A92,EData,6,0)</f>
        <v>0.51260926353863201</v>
      </c>
    </row>
    <row r="93" spans="1:7" x14ac:dyDescent="0.25">
      <c r="A93" t="str">
        <f>Break!A93</f>
        <v>Hyd_Rajesh Sharma (1008603)</v>
      </c>
      <c r="B93" t="str">
        <f t="shared" si="1"/>
        <v>Rajesh Sharma</v>
      </c>
      <c r="C93" s="14">
        <f>TIMEVALUE(VLOOKUP(A93,EData,2,0))</f>
        <v>0.21146990740740743</v>
      </c>
      <c r="D93" s="14">
        <f>TIMEVALUE(VLOOKUP(A93,EData,3,0))</f>
        <v>0.14190972222222223</v>
      </c>
      <c r="E93" s="14">
        <f>TIMEVALUE(VLOOKUP(A93,BData,9,0))</f>
        <v>1.6979166666666667E-2</v>
      </c>
      <c r="F93">
        <f>VLOOKUP(A93,PData,2,0)</f>
        <v>50</v>
      </c>
      <c r="G93" s="17">
        <f>VLOOKUP(A93,EData,6,0)</f>
        <v>0.62426796562859199</v>
      </c>
    </row>
    <row r="94" spans="1:7" x14ac:dyDescent="0.25">
      <c r="A94" t="str">
        <f>Break!A94</f>
        <v>Hyd_Raji Abraham (1008604)</v>
      </c>
      <c r="B94" t="str">
        <f t="shared" si="1"/>
        <v>Raji Abraham</v>
      </c>
      <c r="C94" s="14">
        <f>TIMEVALUE(VLOOKUP(A94,EData,2,0))</f>
        <v>0.34075231481481483</v>
      </c>
      <c r="D94" s="14">
        <f>TIMEVALUE(VLOOKUP(A94,EData,3,0))</f>
        <v>0.1976273148148148</v>
      </c>
      <c r="E94" s="14">
        <f>TIMEVALUE(VLOOKUP(A94,BData,9,0))</f>
        <v>4.8240740740740744E-2</v>
      </c>
      <c r="F94">
        <f>VLOOKUP(A94,PData,2,0)</f>
        <v>51</v>
      </c>
      <c r="G94" s="17">
        <f>VLOOKUP(A94,EData,6,0)</f>
        <v>0.54373153085832704</v>
      </c>
    </row>
    <row r="95" spans="1:7" x14ac:dyDescent="0.25">
      <c r="A95" t="str">
        <f>Break!A95</f>
        <v>Hyd_Rajshree Dhabekar (1008605)</v>
      </c>
      <c r="B95" t="str">
        <f t="shared" si="1"/>
        <v>Rajshree Dhabekar</v>
      </c>
      <c r="C95" s="14">
        <f>TIMEVALUE(VLOOKUP(A95,EData,2,0))</f>
        <v>0.34390046296296295</v>
      </c>
      <c r="D95" s="14" t="e">
        <f>TIMEVALUE(VLOOKUP(A95,EData,3,0))</f>
        <v>#VALUE!</v>
      </c>
      <c r="E95" s="14">
        <f>TIMEVALUE(VLOOKUP(A95,BData,9,0))</f>
        <v>0.34385416666666663</v>
      </c>
      <c r="F95">
        <f>VLOOKUP(A95,PData,2,0)</f>
        <v>52</v>
      </c>
      <c r="G95" s="17">
        <f>VLOOKUP(A95,EData,6,0)</f>
        <v>0</v>
      </c>
    </row>
    <row r="96" spans="1:7" x14ac:dyDescent="0.25">
      <c r="A96" t="str">
        <f>Break!A96</f>
        <v>Hyd_Rakhi Jodhani (1008606)</v>
      </c>
      <c r="B96" t="str">
        <f t="shared" si="1"/>
        <v>Rakhi Jodhani</v>
      </c>
      <c r="C96" s="14">
        <f>TIMEVALUE(VLOOKUP(A96,EData,2,0))</f>
        <v>0.33532407407407411</v>
      </c>
      <c r="D96" s="14">
        <f>TIMEVALUE(VLOOKUP(A96,EData,3,0))</f>
        <v>5.0763888888888886E-2</v>
      </c>
      <c r="E96" s="14">
        <f>TIMEVALUE(VLOOKUP(A96,BData,9,0))</f>
        <v>0.27759259259259261</v>
      </c>
      <c r="F96">
        <f>VLOOKUP(A96,PData,2,0)</f>
        <v>53</v>
      </c>
      <c r="G96" s="17">
        <f>VLOOKUP(A96,EData,6,0)</f>
        <v>0.14431174927516199</v>
      </c>
    </row>
    <row r="97" spans="1:7" x14ac:dyDescent="0.25">
      <c r="A97" t="str">
        <f>Break!A97</f>
        <v>Hyd_Ramji Prasad (1008607)</v>
      </c>
      <c r="B97" t="str">
        <f t="shared" si="1"/>
        <v>Ramji Prasad</v>
      </c>
      <c r="C97" s="14">
        <f>TIMEVALUE(VLOOKUP(A97,EData,2,0))</f>
        <v>0.34682870370370367</v>
      </c>
      <c r="D97" s="14">
        <f>TIMEVALUE(VLOOKUP(A97,EData,3,0))</f>
        <v>0.20351851851851852</v>
      </c>
      <c r="E97" s="14">
        <f>TIMEVALUE(VLOOKUP(A97,BData,9,0))</f>
        <v>5.122685185185185E-2</v>
      </c>
      <c r="F97">
        <f>VLOOKUP(A97,PData,2,0)</f>
        <v>54</v>
      </c>
      <c r="G97" s="17">
        <f>VLOOKUP(A97,EData,6,0)</f>
        <v>0.55259293866381898</v>
      </c>
    </row>
    <row r="98" spans="1:7" x14ac:dyDescent="0.25">
      <c r="A98" t="str">
        <f>Break!A98</f>
        <v>Del_Rashid (1008608)</v>
      </c>
      <c r="B98" t="str">
        <f t="shared" si="1"/>
        <v>Rashid</v>
      </c>
      <c r="C98" s="14">
        <f>TIMEVALUE(VLOOKUP(A98,EData,2,0))</f>
        <v>0.33483796296296298</v>
      </c>
      <c r="D98" s="14">
        <f>TIMEVALUE(VLOOKUP(A98,EData,3,0))</f>
        <v>6.6759259259259254E-2</v>
      </c>
      <c r="E98" s="14">
        <f>TIMEVALUE(VLOOKUP(A98,BData,9,0))</f>
        <v>0.23973379629629629</v>
      </c>
      <c r="F98">
        <f>VLOOKUP(A98,PData,2,0)</f>
        <v>55</v>
      </c>
      <c r="G98" s="17">
        <f>VLOOKUP(A98,EData,6,0)</f>
        <v>0.18938817836156199</v>
      </c>
    </row>
    <row r="99" spans="1:7" x14ac:dyDescent="0.25">
      <c r="A99" t="str">
        <f>Break!A99</f>
        <v>Del_Rashmi Gajbe (1008609)</v>
      </c>
      <c r="B99" t="str">
        <f t="shared" si="1"/>
        <v>Rashmi Gajbe</v>
      </c>
      <c r="C99" s="14">
        <f>TIMEVALUE(VLOOKUP(A99,EData,2,0))</f>
        <v>0.34770833333333334</v>
      </c>
      <c r="D99" s="14">
        <f>TIMEVALUE(VLOOKUP(A99,EData,3,0))</f>
        <v>0.1784375</v>
      </c>
      <c r="E99" s="14">
        <f>TIMEVALUE(VLOOKUP(A99,BData,9,0))</f>
        <v>8.6782407407407405E-2</v>
      </c>
      <c r="F99">
        <f>VLOOKUP(A99,PData,2,0)</f>
        <v>56</v>
      </c>
      <c r="G99" s="17">
        <f>VLOOKUP(A99,EData,6,0)</f>
        <v>0.47077424938419499</v>
      </c>
    </row>
    <row r="100" spans="1:7" x14ac:dyDescent="0.25">
      <c r="A100" t="str">
        <f>Break!A100</f>
        <v>Del_Ravi Kumar (1008610)</v>
      </c>
      <c r="B100" t="str">
        <f t="shared" si="1"/>
        <v>Ravi Kumar</v>
      </c>
      <c r="C100" s="14">
        <f>TIMEVALUE(VLOOKUP(A100,EData,2,0))</f>
        <v>0.33384259259259258</v>
      </c>
      <c r="D100" s="14">
        <f>TIMEVALUE(VLOOKUP(A100,EData,3,0))</f>
        <v>0.19934027777777777</v>
      </c>
      <c r="E100" s="14">
        <f>TIMEVALUE(VLOOKUP(A100,BData,9,0))</f>
        <v>4.9467592592592591E-2</v>
      </c>
      <c r="F100">
        <f>VLOOKUP(A100,PData,2,0)</f>
        <v>57</v>
      </c>
      <c r="G100" s="17">
        <f>VLOOKUP(A100,EData,6,0)</f>
        <v>0.53862155040909698</v>
      </c>
    </row>
    <row r="101" spans="1:7" x14ac:dyDescent="0.25">
      <c r="A101" t="str">
        <f>Break!A101</f>
        <v>Del_Ravinder Kaur (1008611)</v>
      </c>
      <c r="B101" t="str">
        <f t="shared" si="1"/>
        <v>Ravinder Kaur</v>
      </c>
      <c r="C101" s="14">
        <f>TIMEVALUE(VLOOKUP(A101,EData,2,0))</f>
        <v>0.3346412037037037</v>
      </c>
      <c r="D101" s="14">
        <f>TIMEVALUE(VLOOKUP(A101,EData,3,0))</f>
        <v>0.19371527777777778</v>
      </c>
      <c r="E101" s="14">
        <f>TIMEVALUE(VLOOKUP(A101,BData,9,0))</f>
        <v>4.8240740740740744E-2</v>
      </c>
      <c r="F101">
        <f>VLOOKUP(A101,PData,2,0)</f>
        <v>58</v>
      </c>
      <c r="G101" s="17">
        <f>VLOOKUP(A101,EData,6,0)</f>
        <v>0.53294365856189296</v>
      </c>
    </row>
    <row r="102" spans="1:7" x14ac:dyDescent="0.25">
      <c r="A102" t="str">
        <f>Break!A102</f>
        <v>Del_Rekha Agarwal (1008612)</v>
      </c>
      <c r="B102" t="str">
        <f t="shared" si="1"/>
        <v>Rekha Agarwal</v>
      </c>
      <c r="C102" s="14">
        <f>TIMEVALUE(VLOOKUP(A102,EData,2,0))</f>
        <v>0.24574074074074073</v>
      </c>
      <c r="D102" s="14">
        <f>TIMEVALUE(VLOOKUP(A102,EData,3,0))</f>
        <v>0.1202199074074074</v>
      </c>
      <c r="E102" s="14">
        <f>TIMEVALUE(VLOOKUP(A102,BData,9,0))</f>
        <v>0.11229166666666668</v>
      </c>
      <c r="F102">
        <f>VLOOKUP(A102,PData,2,0)</f>
        <v>59</v>
      </c>
      <c r="G102" s="17">
        <f>VLOOKUP(A102,EData,6,0)</f>
        <v>0.41310286360211002</v>
      </c>
    </row>
    <row r="103" spans="1:7" x14ac:dyDescent="0.25">
      <c r="A103" t="str">
        <f>Break!A103</f>
        <v>Del_Rekha Gupta (1008613)</v>
      </c>
      <c r="B103" t="str">
        <f t="shared" si="1"/>
        <v>Rekha Gupta</v>
      </c>
      <c r="C103" s="14">
        <f>TIMEVALUE(VLOOKUP(A103,EData,2,0))</f>
        <v>0.34446759259259263</v>
      </c>
      <c r="D103" s="14">
        <f>TIMEVALUE(VLOOKUP(A103,EData,3,0))</f>
        <v>0.18254629629629629</v>
      </c>
      <c r="E103" s="14">
        <f>TIMEVALUE(VLOOKUP(A103,BData,9,0))</f>
        <v>7.6817129629629624E-2</v>
      </c>
      <c r="F103">
        <f>VLOOKUP(A103,PData,2,0)</f>
        <v>60</v>
      </c>
      <c r="G103" s="17">
        <f>VLOOKUP(A103,EData,6,0)</f>
        <v>0.50483838451717</v>
      </c>
    </row>
    <row r="104" spans="1:7" x14ac:dyDescent="0.25">
      <c r="A104" t="str">
        <f>Break!A104</f>
        <v>Del_Rekha Jain  (1008614)</v>
      </c>
      <c r="B104" t="str">
        <f t="shared" si="1"/>
        <v xml:space="preserve">Rekha Jain </v>
      </c>
      <c r="C104" s="14">
        <f>TIMEVALUE(VLOOKUP(A104,EData,2,0))</f>
        <v>0.34423611111111113</v>
      </c>
      <c r="D104" s="14">
        <f>TIMEVALUE(VLOOKUP(A104,EData,3,0))</f>
        <v>0.18436342592592592</v>
      </c>
      <c r="E104" s="14">
        <f>TIMEVALUE(VLOOKUP(A104,BData,9,0))</f>
        <v>6.732638888888888E-2</v>
      </c>
      <c r="F104">
        <f>VLOOKUP(A104,PData,2,0)</f>
        <v>61</v>
      </c>
      <c r="G104" s="17">
        <f>VLOOKUP(A104,EData,6,0)</f>
        <v>0.52390558805729304</v>
      </c>
    </row>
    <row r="105" spans="1:7" x14ac:dyDescent="0.25">
      <c r="A105" t="str">
        <f>Break!A105</f>
        <v>Del_Renu Pratap (1008615)</v>
      </c>
      <c r="B105" t="str">
        <f t="shared" si="1"/>
        <v>Renu Pratap</v>
      </c>
      <c r="C105" s="14">
        <f>TIMEVALUE(VLOOKUP(A105,EData,2,0))</f>
        <v>0.34479166666666666</v>
      </c>
      <c r="D105" s="14">
        <f>TIMEVALUE(VLOOKUP(A105,EData,3,0))</f>
        <v>0.10450231481481481</v>
      </c>
      <c r="E105" s="14">
        <f>TIMEVALUE(VLOOKUP(A105,BData,9,0))</f>
        <v>0.21383101851851852</v>
      </c>
      <c r="F105">
        <f>VLOOKUP(A105,PData,2,0)</f>
        <v>62</v>
      </c>
      <c r="G105" s="17">
        <f>VLOOKUP(A105,EData,6,0)</f>
        <v>0.25444780127559602</v>
      </c>
    </row>
    <row r="106" spans="1:7" x14ac:dyDescent="0.25">
      <c r="A106" t="str">
        <f>Break!A106</f>
        <v>Del_Ritu Bhatnagar (1008616)</v>
      </c>
      <c r="B106" t="str">
        <f t="shared" si="1"/>
        <v>Ritu Bhatnagar</v>
      </c>
      <c r="C106" s="14">
        <f>TIMEVALUE(VLOOKUP(A106,EData,2,0))</f>
        <v>0.33458333333333329</v>
      </c>
      <c r="D106" s="14">
        <f>TIMEVALUE(VLOOKUP(A106,EData,3,0))</f>
        <v>0.20292824074074076</v>
      </c>
      <c r="E106" s="14">
        <f>TIMEVALUE(VLOOKUP(A106,BData,9,0))</f>
        <v>5.092592592592593E-2</v>
      </c>
      <c r="F106">
        <f>VLOOKUP(A106,PData,2,0)</f>
        <v>63</v>
      </c>
      <c r="G106" s="17">
        <f>VLOOKUP(A106,EData,6,0)</f>
        <v>0.55517503805174995</v>
      </c>
    </row>
    <row r="107" spans="1:7" x14ac:dyDescent="0.25">
      <c r="A107" t="str">
        <f>Break!A107</f>
        <v>Del_Rohit Nishchal (1008617)</v>
      </c>
      <c r="B107" t="str">
        <f t="shared" si="1"/>
        <v>Rohit Nishchal</v>
      </c>
      <c r="C107" s="14">
        <f>TIMEVALUE(VLOOKUP(A107,EData,2,0))</f>
        <v>0.34524305555555551</v>
      </c>
      <c r="D107" s="14" t="e">
        <f>TIMEVALUE(VLOOKUP(A107,EData,3,0))</f>
        <v>#VALUE!</v>
      </c>
      <c r="E107" s="14">
        <f>TIMEVALUE(VLOOKUP(A107,BData,9,0))</f>
        <v>0.34513888888888888</v>
      </c>
      <c r="F107">
        <f>VLOOKUP(A107,PData,2,0)</f>
        <v>64</v>
      </c>
      <c r="G107" s="17">
        <f>VLOOKUP(A107,EData,6,0)</f>
        <v>0</v>
      </c>
    </row>
    <row r="108" spans="1:7" x14ac:dyDescent="0.25">
      <c r="A108" t="str">
        <f>Break!A108</f>
        <v>Del_Roli Bhatnagar (1008618)</v>
      </c>
      <c r="B108" t="str">
        <f t="shared" si="1"/>
        <v>Roli Bhatnagar</v>
      </c>
      <c r="C108" s="14">
        <f>TIMEVALUE(VLOOKUP(A108,EData,2,0))</f>
        <v>0.34424768518518517</v>
      </c>
      <c r="D108" s="14">
        <f>TIMEVALUE(VLOOKUP(A108,EData,3,0))</f>
        <v>0.17256944444444444</v>
      </c>
      <c r="E108" s="14">
        <f>TIMEVALUE(VLOOKUP(A108,BData,9,0))</f>
        <v>9.0462962962962967E-2</v>
      </c>
      <c r="F108">
        <f>VLOOKUP(A108,PData,2,0)</f>
        <v>65</v>
      </c>
      <c r="G108" s="17">
        <f>VLOOKUP(A108,EData,6,0)</f>
        <v>0.477120667047709</v>
      </c>
    </row>
    <row r="109" spans="1:7" x14ac:dyDescent="0.25">
      <c r="A109" t="str">
        <f>Break!A109</f>
        <v>Del_Roma Rastogi (1008619)</v>
      </c>
      <c r="B109" t="str">
        <f t="shared" si="1"/>
        <v>Roma Rastogi</v>
      </c>
      <c r="C109" s="14">
        <f>TIMEVALUE(VLOOKUP(A109,EData,2,0))</f>
        <v>0.35488425925925932</v>
      </c>
      <c r="D109" s="14">
        <f>TIMEVALUE(VLOOKUP(A109,EData,3,0))</f>
        <v>0.23307870370370373</v>
      </c>
      <c r="E109" s="14">
        <f>TIMEVALUE(VLOOKUP(A109,BData,9,0))</f>
        <v>3.7349537037037035E-2</v>
      </c>
      <c r="F109">
        <f>VLOOKUP(A109,PData,2,0)</f>
        <v>66</v>
      </c>
      <c r="G109" s="17">
        <f>VLOOKUP(A109,EData,6,0)</f>
        <v>0.61917030852521004</v>
      </c>
    </row>
    <row r="110" spans="1:7" x14ac:dyDescent="0.25">
      <c r="A110" t="str">
        <f>Break!A110</f>
        <v>Del_Roohi Haider (1008620)</v>
      </c>
      <c r="B110" t="str">
        <f t="shared" si="1"/>
        <v>Roohi Haider</v>
      </c>
      <c r="C110" s="14">
        <f>TIMEVALUE(VLOOKUP(A110,EData,2,0))</f>
        <v>0.33346064814814813</v>
      </c>
      <c r="D110" s="14">
        <f>TIMEVALUE(VLOOKUP(A110,EData,3,0))</f>
        <v>0.2029050925925926</v>
      </c>
      <c r="E110" s="14">
        <f>TIMEVALUE(VLOOKUP(A110,BData,9,0))</f>
        <v>4.8194444444444449E-2</v>
      </c>
      <c r="F110">
        <f>VLOOKUP(A110,PData,2,0)</f>
        <v>67</v>
      </c>
      <c r="G110" s="17">
        <f>VLOOKUP(A110,EData,6,0)</f>
        <v>0.55305265350039901</v>
      </c>
    </row>
    <row r="111" spans="1:7" x14ac:dyDescent="0.25">
      <c r="A111" t="str">
        <f>Break!A111</f>
        <v>Del_Sajid Naqvi (1008621)</v>
      </c>
      <c r="B111" t="str">
        <f t="shared" si="1"/>
        <v>Sajid Naqvi</v>
      </c>
      <c r="C111" s="14">
        <f>TIMEVALUE(VLOOKUP(A111,EData,2,0))</f>
        <v>0.34430555555555559</v>
      </c>
      <c r="D111" s="14">
        <f>TIMEVALUE(VLOOKUP(A111,EData,3,0))</f>
        <v>0.20876157407407406</v>
      </c>
      <c r="E111" s="14">
        <f>TIMEVALUE(VLOOKUP(A111,BData,9,0))</f>
        <v>4.7685185185185185E-2</v>
      </c>
      <c r="F111">
        <f>VLOOKUP(A111,PData,2,0)</f>
        <v>68</v>
      </c>
      <c r="G111" s="17">
        <f>VLOOKUP(A111,EData,6,0)</f>
        <v>0.56195374478956595</v>
      </c>
    </row>
    <row r="112" spans="1:7" x14ac:dyDescent="0.25">
      <c r="A112" t="str">
        <f>Break!A112</f>
        <v>Del_Salim (1008622)</v>
      </c>
      <c r="B112" t="str">
        <f t="shared" si="1"/>
        <v>Salim</v>
      </c>
      <c r="C112" s="14">
        <f>TIMEVALUE(VLOOKUP(A112,EData,2,0))</f>
        <v>0.34439814814814818</v>
      </c>
      <c r="D112" s="14">
        <f>TIMEVALUE(VLOOKUP(A112,EData,3,0))</f>
        <v>0.19284722222222225</v>
      </c>
      <c r="E112" s="14">
        <f>TIMEVALUE(VLOOKUP(A112,BData,9,0))</f>
        <v>8.2974537037037041E-2</v>
      </c>
      <c r="F112">
        <f>VLOOKUP(A112,PData,2,0)</f>
        <v>69</v>
      </c>
      <c r="G112" s="17">
        <f>VLOOKUP(A112,EData,6,0)</f>
        <v>0.48780077967468699</v>
      </c>
    </row>
    <row r="113" spans="1:7" x14ac:dyDescent="0.25">
      <c r="A113" t="str">
        <f>Break!A113</f>
        <v>Del_Sanjay Hire (1008623)</v>
      </c>
      <c r="B113" t="str">
        <f t="shared" si="1"/>
        <v>Sanjay Hire</v>
      </c>
      <c r="C113" s="14">
        <f>TIMEVALUE(VLOOKUP(A113,EData,2,0))</f>
        <v>0.34435185185185185</v>
      </c>
      <c r="D113" s="14">
        <f>TIMEVALUE(VLOOKUP(A113,EData,3,0))</f>
        <v>0.20849537037037036</v>
      </c>
      <c r="E113" s="14">
        <f>TIMEVALUE(VLOOKUP(A113,BData,9,0))</f>
        <v>4.8414351851851854E-2</v>
      </c>
      <c r="F113">
        <f>VLOOKUP(A113,PData,2,0)</f>
        <v>70</v>
      </c>
      <c r="G113" s="17">
        <f>VLOOKUP(A113,EData,6,0)</f>
        <v>0.55414762032804499</v>
      </c>
    </row>
    <row r="114" spans="1:7" x14ac:dyDescent="0.25">
      <c r="A114" t="str">
        <f>Break!A114</f>
        <v>Del_Sanjiv Subherwal (1008624)</v>
      </c>
      <c r="B114" t="str">
        <f t="shared" si="1"/>
        <v>Sanjiv Subherwal</v>
      </c>
      <c r="C114" s="14">
        <f>TIMEVALUE(VLOOKUP(A114,EData,2,0))</f>
        <v>0.33491898148148147</v>
      </c>
      <c r="D114" s="14">
        <f>TIMEVALUE(VLOOKUP(A114,EData,3,0))</f>
        <v>0.21258101851851852</v>
      </c>
      <c r="E114" s="14">
        <f>TIMEVALUE(VLOOKUP(A114,BData,9,0))</f>
        <v>4.8784722222222222E-2</v>
      </c>
      <c r="F114">
        <f>VLOOKUP(A114,PData,2,0)</f>
        <v>71</v>
      </c>
      <c r="G114" s="17">
        <f>VLOOKUP(A114,EData,6,0)</f>
        <v>0.58651553374572396</v>
      </c>
    </row>
    <row r="115" spans="1:7" x14ac:dyDescent="0.25">
      <c r="A115" t="str">
        <f>Break!A115</f>
        <v>Del_Sanju Ramdas (1008625)</v>
      </c>
      <c r="B115" t="str">
        <f t="shared" si="1"/>
        <v>Sanju Ramdas</v>
      </c>
      <c r="C115" s="14">
        <f>TIMEVALUE(VLOOKUP(A115,EData,2,0))</f>
        <v>0.34442129629629631</v>
      </c>
      <c r="D115" s="14">
        <f>TIMEVALUE(VLOOKUP(A115,EData,3,0))</f>
        <v>0.22203703703703703</v>
      </c>
      <c r="E115" s="14">
        <f>TIMEVALUE(VLOOKUP(A115,BData,9,0))</f>
        <v>5.1342592592592586E-2</v>
      </c>
      <c r="F115">
        <f>VLOOKUP(A115,PData,2,0)</f>
        <v>72</v>
      </c>
      <c r="G115" s="17">
        <f>VLOOKUP(A115,EData,6,0)</f>
        <v>0.58165871362322696</v>
      </c>
    </row>
    <row r="116" spans="1:7" x14ac:dyDescent="0.25">
      <c r="A116" t="str">
        <f>Break!A116</f>
        <v>Del_Santosh Kumar (1008626)</v>
      </c>
      <c r="B116" t="str">
        <f t="shared" si="1"/>
        <v>Santosh Kumar</v>
      </c>
      <c r="C116" s="14">
        <f>TIMEVALUE(VLOOKUP(A116,EData,2,0))</f>
        <v>0.33370370370370367</v>
      </c>
      <c r="D116" s="14">
        <f>TIMEVALUE(VLOOKUP(A116,EData,3,0))</f>
        <v>0.21053240740740742</v>
      </c>
      <c r="E116" s="14">
        <f>TIMEVALUE(VLOOKUP(A116,BData,9,0))</f>
        <v>4.8472222222222222E-2</v>
      </c>
      <c r="F116">
        <f>VLOOKUP(A116,PData,2,0)</f>
        <v>73</v>
      </c>
      <c r="G116" s="17">
        <f>VLOOKUP(A116,EData,6,0)</f>
        <v>0.59073251942286398</v>
      </c>
    </row>
    <row r="117" spans="1:7" x14ac:dyDescent="0.25">
      <c r="A117" t="str">
        <f>Break!A117</f>
        <v>Del_Santosh Kumar (1008627)</v>
      </c>
      <c r="B117" t="str">
        <f t="shared" si="1"/>
        <v>Santosh Kumar</v>
      </c>
      <c r="C117" s="14">
        <f>TIMEVALUE(VLOOKUP(A117,EData,2,0))</f>
        <v>0.34518518518518521</v>
      </c>
      <c r="D117" s="14">
        <f>TIMEVALUE(VLOOKUP(A117,EData,3,0))</f>
        <v>0.21524305555555556</v>
      </c>
      <c r="E117" s="14">
        <f>TIMEVALUE(VLOOKUP(A117,BData,9,0))</f>
        <v>4.9282407407407407E-2</v>
      </c>
      <c r="F117">
        <f>VLOOKUP(A117,PData,2,0)</f>
        <v>74</v>
      </c>
      <c r="G117" s="17">
        <f>VLOOKUP(A117,EData,6,0)</f>
        <v>0.58640692060085797</v>
      </c>
    </row>
    <row r="118" spans="1:7" x14ac:dyDescent="0.25">
      <c r="A118" t="str">
        <f>Break!A118</f>
        <v>Del_Santosh Kumar (1008628)</v>
      </c>
      <c r="B118" t="str">
        <f t="shared" si="1"/>
        <v>Santosh Kumar</v>
      </c>
      <c r="C118" s="14">
        <f>TIMEVALUE(VLOOKUP(A118,EData,2,0))</f>
        <v>0.3354050925925926</v>
      </c>
      <c r="D118" s="14">
        <f>TIMEVALUE(VLOOKUP(A118,EData,3,0))</f>
        <v>0.19744212962962962</v>
      </c>
      <c r="E118" s="14">
        <f>TIMEVALUE(VLOOKUP(A118,BData,9,0))</f>
        <v>5.0011574074074076E-2</v>
      </c>
      <c r="F118">
        <f>VLOOKUP(A118,PData,2,0)</f>
        <v>75</v>
      </c>
      <c r="G118" s="17">
        <f>VLOOKUP(A118,EData,6,0)</f>
        <v>0.54653369681493502</v>
      </c>
    </row>
    <row r="119" spans="1:7" x14ac:dyDescent="0.25">
      <c r="A119" t="str">
        <f>Break!A119</f>
        <v>Del_Sapna Sharma (1008629)</v>
      </c>
      <c r="B119" t="str">
        <f t="shared" si="1"/>
        <v>Sapna Sharma</v>
      </c>
      <c r="C119" s="14">
        <f>TIMEVALUE(VLOOKUP(A119,EData,2,0))</f>
        <v>0.33627314814814818</v>
      </c>
      <c r="D119" s="14">
        <f>TIMEVALUE(VLOOKUP(A119,EData,3,0))</f>
        <v>0.18991898148148148</v>
      </c>
      <c r="E119" s="14">
        <f>TIMEVALUE(VLOOKUP(A119,BData,9,0))</f>
        <v>6.4317129629629641E-2</v>
      </c>
      <c r="F119">
        <f>VLOOKUP(A119,PData,2,0)</f>
        <v>76</v>
      </c>
      <c r="G119" s="17">
        <f>VLOOKUP(A119,EData,6,0)</f>
        <v>0.53238796723342696</v>
      </c>
    </row>
    <row r="120" spans="1:7" x14ac:dyDescent="0.25">
      <c r="A120" t="str">
        <f>Break!A120</f>
        <v>Del_Saroj Parita (1008630)</v>
      </c>
      <c r="B120" t="str">
        <f t="shared" si="1"/>
        <v>Saroj Parita</v>
      </c>
      <c r="C120" s="14">
        <f>TIMEVALUE(VLOOKUP(A120,EData,2,0))</f>
        <v>0.33471064814814816</v>
      </c>
      <c r="D120" s="14">
        <f>TIMEVALUE(VLOOKUP(A120,EData,3,0))</f>
        <v>0.18868055555555555</v>
      </c>
      <c r="E120" s="14">
        <f>TIMEVALUE(VLOOKUP(A120,BData,9,0))</f>
        <v>7.3344907407407414E-2</v>
      </c>
      <c r="F120">
        <f>VLOOKUP(A120,PData,2,0)</f>
        <v>77</v>
      </c>
      <c r="G120" s="17">
        <f>VLOOKUP(A120,EData,6,0)</f>
        <v>0.47020989660776702</v>
      </c>
    </row>
    <row r="121" spans="1:7" x14ac:dyDescent="0.25">
      <c r="A121" t="str">
        <f>Break!A121</f>
        <v>Del_Shailaja Kamal (1008631)</v>
      </c>
      <c r="B121" t="str">
        <f t="shared" si="1"/>
        <v>Shailaja Kamal</v>
      </c>
      <c r="C121" s="14">
        <f>TIMEVALUE(VLOOKUP(A121,EData,2,0))</f>
        <v>0.33974537037037034</v>
      </c>
      <c r="D121" s="14">
        <f>TIMEVALUE(VLOOKUP(A121,EData,3,0))</f>
        <v>0.20261574074074074</v>
      </c>
      <c r="E121" s="14">
        <f>TIMEVALUE(VLOOKUP(A121,BData,9,0))</f>
        <v>4.7754629629629626E-2</v>
      </c>
      <c r="F121">
        <f>VLOOKUP(A121,PData,2,0)</f>
        <v>78</v>
      </c>
      <c r="G121" s="17">
        <f>VLOOKUP(A121,EData,6,0)</f>
        <v>0.54633099407235797</v>
      </c>
    </row>
    <row r="122" spans="1:7" x14ac:dyDescent="0.25">
      <c r="A122" t="str">
        <f>Break!A122</f>
        <v>Del_Shailendra Barge (1008632)</v>
      </c>
      <c r="B122" t="str">
        <f t="shared" si="1"/>
        <v>Shailendra Barge</v>
      </c>
      <c r="C122" s="14">
        <f>TIMEVALUE(VLOOKUP(A122,EData,2,0))</f>
        <v>0.34557870370370369</v>
      </c>
      <c r="D122" s="14">
        <f>TIMEVALUE(VLOOKUP(A122,EData,3,0))</f>
        <v>0.1431597222222222</v>
      </c>
      <c r="E122" s="14">
        <f>TIMEVALUE(VLOOKUP(A122,BData,9,0))</f>
        <v>0.15493055555555554</v>
      </c>
      <c r="F122">
        <f>VLOOKUP(A122,PData,2,0)</f>
        <v>79</v>
      </c>
      <c r="G122" s="17">
        <f>VLOOKUP(A122,EData,6,0)</f>
        <v>0.38820416638756799</v>
      </c>
    </row>
    <row r="123" spans="1:7" x14ac:dyDescent="0.25">
      <c r="A123" t="str">
        <f>Break!A123</f>
        <v>Del_Shankar Attendant (1008633)</v>
      </c>
      <c r="B123" t="str">
        <f t="shared" si="1"/>
        <v>Shankar Attendant</v>
      </c>
      <c r="C123" s="14">
        <f>TIMEVALUE(VLOOKUP(A123,EData,2,0))</f>
        <v>0.33189814814814816</v>
      </c>
      <c r="D123" s="14">
        <f>TIMEVALUE(VLOOKUP(A123,EData,3,0))</f>
        <v>0.1439236111111111</v>
      </c>
      <c r="E123" s="14">
        <f>TIMEVALUE(VLOOKUP(A123,BData,9,0))</f>
        <v>0.13547453703703705</v>
      </c>
      <c r="F123">
        <f>VLOOKUP(A123,PData,2,0)</f>
        <v>80</v>
      </c>
      <c r="G123" s="17">
        <f>VLOOKUP(A123,EData,6,0)</f>
        <v>0.40277584042404802</v>
      </c>
    </row>
    <row r="124" spans="1:7" x14ac:dyDescent="0.25">
      <c r="A124" t="str">
        <f>Break!A124</f>
        <v>Del_Shashikant Tiwari (1008634)</v>
      </c>
      <c r="B124" t="str">
        <f t="shared" si="1"/>
        <v>Shashikant Tiwari</v>
      </c>
      <c r="C124" s="14">
        <f>TIMEVALUE(VLOOKUP(A124,EData,2,0))</f>
        <v>0.34369212962962964</v>
      </c>
      <c r="D124" s="14">
        <f>TIMEVALUE(VLOOKUP(A124,EData,3,0))</f>
        <v>0.22164351851851852</v>
      </c>
      <c r="E124" s="14">
        <f>TIMEVALUE(VLOOKUP(A124,BData,9,0))</f>
        <v>4.8599537037037038E-2</v>
      </c>
      <c r="F124">
        <f>VLOOKUP(A124,PData,2,0)</f>
        <v>81</v>
      </c>
      <c r="G124" s="17">
        <f>VLOOKUP(A124,EData,6,0)</f>
        <v>0.54352584610203702</v>
      </c>
    </row>
    <row r="125" spans="1:7" x14ac:dyDescent="0.25">
      <c r="A125" t="str">
        <f>Break!A125</f>
        <v>Del_Sheeba Joseph (1008635)</v>
      </c>
      <c r="B125" t="str">
        <f t="shared" si="1"/>
        <v>Sheeba Joseph</v>
      </c>
      <c r="C125" s="14">
        <f>TIMEVALUE(VLOOKUP(A125,EData,2,0))</f>
        <v>0.3548263888888889</v>
      </c>
      <c r="D125" s="14">
        <f>TIMEVALUE(VLOOKUP(A125,EData,3,0))</f>
        <v>0.15355324074074075</v>
      </c>
      <c r="E125" s="14">
        <f>TIMEVALUE(VLOOKUP(A125,BData,9,0))</f>
        <v>3.8645833333333331E-2</v>
      </c>
      <c r="F125">
        <f>VLOOKUP(A125,PData,2,0)</f>
        <v>82</v>
      </c>
      <c r="G125" s="17">
        <f>VLOOKUP(A125,EData,6,0)</f>
        <v>0.28371986821932998</v>
      </c>
    </row>
    <row r="126" spans="1:7" x14ac:dyDescent="0.25">
      <c r="A126" t="str">
        <f>Break!A126</f>
        <v>Del_Sheena Joseph (1008636)</v>
      </c>
      <c r="B126" t="str">
        <f t="shared" si="1"/>
        <v>Sheena Joseph</v>
      </c>
      <c r="C126" s="14">
        <f>TIMEVALUE(VLOOKUP(A126,EData,2,0))</f>
        <v>0.36775462962962963</v>
      </c>
      <c r="D126" s="14">
        <f>TIMEVALUE(VLOOKUP(A126,EData,3,0))</f>
        <v>0.21557870370370369</v>
      </c>
      <c r="E126" s="14">
        <f>TIMEVALUE(VLOOKUP(A126,BData,9,0))</f>
        <v>7.048611111111111E-2</v>
      </c>
      <c r="F126">
        <f>VLOOKUP(A126,PData,2,0)</f>
        <v>83</v>
      </c>
      <c r="G126" s="17">
        <f>VLOOKUP(A126,EData,6,0)</f>
        <v>0.56196890539434796</v>
      </c>
    </row>
    <row r="127" spans="1:7" x14ac:dyDescent="0.25">
      <c r="A127" t="str">
        <f>Break!A127</f>
        <v>Del_Shephali Jain (1008637)</v>
      </c>
      <c r="B127" t="str">
        <f t="shared" si="1"/>
        <v>Shephali Jain</v>
      </c>
      <c r="C127" s="14">
        <f>TIMEVALUE(VLOOKUP(A127,EData,2,0))</f>
        <v>0.35119212962962965</v>
      </c>
      <c r="D127" s="14">
        <f>TIMEVALUE(VLOOKUP(A127,EData,3,0))</f>
        <v>0.15380787037037039</v>
      </c>
      <c r="E127" s="14">
        <f>TIMEVALUE(VLOOKUP(A127,BData,9,0))</f>
        <v>0.14153935185185185</v>
      </c>
      <c r="F127">
        <f>VLOOKUP(A127,PData,2,0)</f>
        <v>84</v>
      </c>
      <c r="G127" s="17">
        <f>VLOOKUP(A127,EData,6,0)</f>
        <v>0.40332201825791802</v>
      </c>
    </row>
    <row r="128" spans="1:7" x14ac:dyDescent="0.25">
      <c r="A128" t="str">
        <f>Break!A128</f>
        <v>Del_Shivji Prasad (1008638)</v>
      </c>
      <c r="B128" t="str">
        <f t="shared" si="1"/>
        <v>Shivji Prasad</v>
      </c>
      <c r="C128" s="14">
        <f>TIMEVALUE(VLOOKUP(A128,EData,2,0))</f>
        <v>0.34143518518518517</v>
      </c>
      <c r="D128" s="14">
        <f>TIMEVALUE(VLOOKUP(A128,EData,3,0))</f>
        <v>0.17545138888888889</v>
      </c>
      <c r="E128" s="14">
        <f>TIMEVALUE(VLOOKUP(A128,BData,9,0))</f>
        <v>9.5694444444444457E-2</v>
      </c>
      <c r="F128">
        <f>VLOOKUP(A128,PData,2,0)</f>
        <v>85</v>
      </c>
      <c r="G128" s="17">
        <f>VLOOKUP(A128,EData,6,0)</f>
        <v>0.43796610169491501</v>
      </c>
    </row>
    <row r="129" spans="1:7" x14ac:dyDescent="0.25">
      <c r="A129" t="str">
        <f>Break!A129</f>
        <v>Del_Shubhanjali Joshi (1008639)</v>
      </c>
      <c r="B129" t="str">
        <f t="shared" si="1"/>
        <v>Shubhanjali Joshi</v>
      </c>
      <c r="C129" s="14">
        <f>TIMEVALUE(VLOOKUP(A129,EData,2,0))</f>
        <v>0.34533564814814816</v>
      </c>
      <c r="D129" s="14">
        <f>TIMEVALUE(VLOOKUP(A129,EData,3,0))</f>
        <v>0.20476851851851852</v>
      </c>
      <c r="E129" s="14">
        <f>TIMEVALUE(VLOOKUP(A129,BData,9,0))</f>
        <v>5.5231481481481486E-2</v>
      </c>
      <c r="F129">
        <f>VLOOKUP(A129,PData,2,0)</f>
        <v>86</v>
      </c>
      <c r="G129" s="17">
        <f>VLOOKUP(A129,EData,6,0)</f>
        <v>0.55581995508931903</v>
      </c>
    </row>
    <row r="130" spans="1:7" x14ac:dyDescent="0.25">
      <c r="A130" t="str">
        <f>Break!A130</f>
        <v>Del_Shyamal Malakar (1008640)</v>
      </c>
      <c r="B130" t="str">
        <f t="shared" si="1"/>
        <v>Shyamal Malakar</v>
      </c>
      <c r="C130" s="14">
        <f>TIMEVALUE(VLOOKUP(A130,EData,2,0))</f>
        <v>0.34416666666666668</v>
      </c>
      <c r="D130" s="14">
        <f>TIMEVALUE(VLOOKUP(A130,EData,3,0))</f>
        <v>0.12054398148148149</v>
      </c>
      <c r="E130" s="14">
        <f>TIMEVALUE(VLOOKUP(A130,BData,9,0))</f>
        <v>0.19140046296296295</v>
      </c>
      <c r="F130">
        <f>VLOOKUP(A130,PData,2,0)</f>
        <v>87</v>
      </c>
      <c r="G130" s="17">
        <f>VLOOKUP(A130,EData,6,0)</f>
        <v>0.326035781544256</v>
      </c>
    </row>
    <row r="131" spans="1:7" x14ac:dyDescent="0.25">
      <c r="A131" t="str">
        <f>Break!A131</f>
        <v>Del_Sneh Khan (1008641)</v>
      </c>
      <c r="B131" t="str">
        <f t="shared" ref="B131:B150" si="2">MID(A131,FIND("_",A131,1)+1,FIND("(",A131,1)-FIND("_",A131,1)-2)</f>
        <v>Sneh Khan</v>
      </c>
      <c r="C131" s="14">
        <f>TIMEVALUE(VLOOKUP(A131,EData,2,0))</f>
        <v>0.33975694444444443</v>
      </c>
      <c r="D131" s="14">
        <f>TIMEVALUE(VLOOKUP(A131,EData,3,0))</f>
        <v>0.21278935185185185</v>
      </c>
      <c r="E131" s="14">
        <f>TIMEVALUE(VLOOKUP(A131,BData,9,0))</f>
        <v>4.8506944444444443E-2</v>
      </c>
      <c r="F131">
        <f>VLOOKUP(A131,PData,2,0)</f>
        <v>88</v>
      </c>
      <c r="G131" s="17">
        <f>VLOOKUP(A131,EData,6,0)</f>
        <v>0.57404190086867701</v>
      </c>
    </row>
    <row r="132" spans="1:7" x14ac:dyDescent="0.25">
      <c r="A132" t="str">
        <f>Break!A132</f>
        <v>Del_Sonaram Munda (1008642)</v>
      </c>
      <c r="B132" t="str">
        <f t="shared" si="2"/>
        <v>Sonaram Munda</v>
      </c>
      <c r="C132" s="14">
        <f>TIMEVALUE(VLOOKUP(A132,EData,2,0))</f>
        <v>0.33380787037037035</v>
      </c>
      <c r="D132" s="14">
        <f>TIMEVALUE(VLOOKUP(A132,EData,3,0))</f>
        <v>0.1744212962962963</v>
      </c>
      <c r="E132" s="14">
        <f>TIMEVALUE(VLOOKUP(A132,BData,9,0))</f>
        <v>8.1423611111111113E-2</v>
      </c>
      <c r="F132">
        <f>VLOOKUP(A132,PData,2,0)</f>
        <v>89</v>
      </c>
      <c r="G132" s="17">
        <f>VLOOKUP(A132,EData,6,0)</f>
        <v>0.45359037481363301</v>
      </c>
    </row>
    <row r="133" spans="1:7" x14ac:dyDescent="0.25">
      <c r="A133" t="str">
        <f>Break!A133</f>
        <v>Del_Sudama Kumar (1008643)</v>
      </c>
      <c r="B133" t="str">
        <f t="shared" si="2"/>
        <v>Sudama Kumar</v>
      </c>
      <c r="C133" s="14">
        <f>TIMEVALUE(VLOOKUP(A133,EData,2,0))</f>
        <v>0.34012731481481479</v>
      </c>
      <c r="D133" s="14">
        <f>TIMEVALUE(VLOOKUP(A133,EData,3,0))</f>
        <v>0.11028935185185185</v>
      </c>
      <c r="E133" s="14">
        <f>TIMEVALUE(VLOOKUP(A133,BData,9,0))</f>
        <v>0.19189814814814818</v>
      </c>
      <c r="F133">
        <f>VLOOKUP(A133,PData,2,0)</f>
        <v>90</v>
      </c>
      <c r="G133" s="17">
        <f>VLOOKUP(A133,EData,6,0)</f>
        <v>0.29689998979140397</v>
      </c>
    </row>
    <row r="134" spans="1:7" x14ac:dyDescent="0.25">
      <c r="A134" t="str">
        <f>Break!A134</f>
        <v>Del_Sudhir Kumar (1008644)</v>
      </c>
      <c r="B134" t="str">
        <f t="shared" si="2"/>
        <v>Sudhir Kumar</v>
      </c>
      <c r="C134" s="14">
        <f>TIMEVALUE(VLOOKUP(A134,EData,2,0))</f>
        <v>0.33354166666666668</v>
      </c>
      <c r="D134" s="14">
        <f>TIMEVALUE(VLOOKUP(A134,EData,3,0))</f>
        <v>0.19138888888888891</v>
      </c>
      <c r="E134" s="14">
        <f>TIMEVALUE(VLOOKUP(A134,BData,9,0))</f>
        <v>5.1666666666666666E-2</v>
      </c>
      <c r="F134">
        <f>VLOOKUP(A134,PData,2,0)</f>
        <v>91</v>
      </c>
      <c r="G134" s="17">
        <f>VLOOKUP(A134,EData,6,0)</f>
        <v>0.55729058227496697</v>
      </c>
    </row>
    <row r="135" spans="1:7" x14ac:dyDescent="0.25">
      <c r="A135" t="str">
        <f>Break!A135</f>
        <v>Del_Sunil Kumar (1008645)</v>
      </c>
      <c r="B135" t="str">
        <f t="shared" si="2"/>
        <v>Sunil Kumar</v>
      </c>
      <c r="C135" s="14">
        <f>TIMEVALUE(VLOOKUP(A135,EData,2,0))</f>
        <v>0.3357175925925926</v>
      </c>
      <c r="D135" s="14">
        <f>TIMEVALUE(VLOOKUP(A135,EData,3,0))</f>
        <v>0.12403935185185185</v>
      </c>
      <c r="E135" s="14">
        <f>TIMEVALUE(VLOOKUP(A135,BData,9,0))</f>
        <v>0.1645486111111111</v>
      </c>
      <c r="F135">
        <f>VLOOKUP(A135,PData,2,0)</f>
        <v>92</v>
      </c>
      <c r="G135" s="17">
        <f>VLOOKUP(A135,EData,6,0)</f>
        <v>0.33279321519685601</v>
      </c>
    </row>
    <row r="136" spans="1:7" x14ac:dyDescent="0.25">
      <c r="A136" t="str">
        <f>Break!A136</f>
        <v>Del_Sunil Kumar (1008646)</v>
      </c>
      <c r="B136" t="str">
        <f t="shared" si="2"/>
        <v>Sunil Kumar</v>
      </c>
      <c r="C136" s="14">
        <f>TIMEVALUE(VLOOKUP(A136,EData,2,0))</f>
        <v>0.33687500000000004</v>
      </c>
      <c r="D136" s="14">
        <f>TIMEVALUE(VLOOKUP(A136,EData,3,0))</f>
        <v>0.17017361111111109</v>
      </c>
      <c r="E136" s="14">
        <f>TIMEVALUE(VLOOKUP(A136,BData,9,0))</f>
        <v>9.5034722222222215E-2</v>
      </c>
      <c r="F136">
        <f>VLOOKUP(A136,PData,2,0)</f>
        <v>93</v>
      </c>
      <c r="G136" s="17">
        <f>VLOOKUP(A136,EData,6,0)</f>
        <v>0.472308115165258</v>
      </c>
    </row>
    <row r="137" spans="1:7" x14ac:dyDescent="0.25">
      <c r="A137" t="str">
        <f>Break!A137</f>
        <v>Del_Sunita Chawla (1008647)</v>
      </c>
      <c r="B137" t="str">
        <f t="shared" si="2"/>
        <v>Sunita Chawla</v>
      </c>
      <c r="C137" s="14">
        <f>TIMEVALUE(VLOOKUP(A137,EData,2,0))</f>
        <v>0.33709490740740744</v>
      </c>
      <c r="D137" s="14">
        <f>TIMEVALUE(VLOOKUP(A137,EData,3,0))</f>
        <v>0.18885416666666666</v>
      </c>
      <c r="E137" s="14">
        <f>TIMEVALUE(VLOOKUP(A137,BData,9,0))</f>
        <v>8.7997685185185193E-2</v>
      </c>
      <c r="F137">
        <f>VLOOKUP(A137,PData,2,0)</f>
        <v>94</v>
      </c>
      <c r="G137" s="17">
        <f>VLOOKUP(A137,EData,6,0)</f>
        <v>0.51110729613733896</v>
      </c>
    </row>
    <row r="138" spans="1:7" x14ac:dyDescent="0.25">
      <c r="A138" t="str">
        <f>Break!A138</f>
        <v>Del_Sunita Madnani (1008648)</v>
      </c>
      <c r="B138" t="str">
        <f t="shared" si="2"/>
        <v>Sunita Madnani</v>
      </c>
      <c r="C138" s="14">
        <f>TIMEVALUE(VLOOKUP(A138,EData,2,0))</f>
        <v>0.34307870370370369</v>
      </c>
      <c r="D138" s="14">
        <f>TIMEVALUE(VLOOKUP(A138,EData,3,0))</f>
        <v>0.22166666666666668</v>
      </c>
      <c r="E138" s="14">
        <f>TIMEVALUE(VLOOKUP(A138,BData,9,0))</f>
        <v>4.7395833333333331E-2</v>
      </c>
      <c r="F138">
        <f>VLOOKUP(A138,PData,2,0)</f>
        <v>95</v>
      </c>
      <c r="G138" s="17">
        <f>VLOOKUP(A138,EData,6,0)</f>
        <v>0.58886040078267299</v>
      </c>
    </row>
    <row r="139" spans="1:7" x14ac:dyDescent="0.25">
      <c r="A139" t="str">
        <f>Break!A139</f>
        <v>Del_Surendra Kumar (1008649)</v>
      </c>
      <c r="B139" t="str">
        <f t="shared" si="2"/>
        <v>Surendra Kumar</v>
      </c>
      <c r="C139" s="14">
        <f>TIMEVALUE(VLOOKUP(A139,EData,2,0))</f>
        <v>0.31192129629629628</v>
      </c>
      <c r="D139" s="14">
        <f>TIMEVALUE(VLOOKUP(A139,EData,3,0))</f>
        <v>0.12112268518518519</v>
      </c>
      <c r="E139" s="14">
        <f>TIMEVALUE(VLOOKUP(A139,BData,9,0))</f>
        <v>0.1575462962962963</v>
      </c>
      <c r="F139">
        <f>VLOOKUP(A139,PData,2,0)</f>
        <v>96</v>
      </c>
      <c r="G139" s="17">
        <f>VLOOKUP(A139,EData,6,0)</f>
        <v>0.34289424860853401</v>
      </c>
    </row>
    <row r="140" spans="1:7" x14ac:dyDescent="0.25">
      <c r="A140" t="str">
        <f>Break!A140</f>
        <v>Del_Surendranath Thakur (1008650)</v>
      </c>
      <c r="B140" t="str">
        <f t="shared" si="2"/>
        <v>Surendranath Thakur</v>
      </c>
      <c r="C140" s="14">
        <f>TIMEVALUE(VLOOKUP(A140,EData,2,0))</f>
        <v>0.35686342592592596</v>
      </c>
      <c r="D140" s="14">
        <f>TIMEVALUE(VLOOKUP(A140,EData,3,0))</f>
        <v>0.19224537037037037</v>
      </c>
      <c r="E140" s="14">
        <f>TIMEVALUE(VLOOKUP(A140,BData,9,0))</f>
        <v>9.5196759259259259E-2</v>
      </c>
      <c r="F140">
        <f>VLOOKUP(A140,PData,2,0)</f>
        <v>97</v>
      </c>
      <c r="G140" s="17">
        <f>VLOOKUP(A140,EData,6,0)</f>
        <v>0.497486459313074</v>
      </c>
    </row>
    <row r="141" spans="1:7" x14ac:dyDescent="0.25">
      <c r="A141" t="str">
        <f>Break!A141</f>
        <v>Del_Sushma Khandelwal (1008651)</v>
      </c>
      <c r="B141" t="str">
        <f t="shared" si="2"/>
        <v>Sushma Khandelwal</v>
      </c>
      <c r="C141" s="14">
        <f>TIMEVALUE(VLOOKUP(A141,EData,2,0))</f>
        <v>0.34392361111111108</v>
      </c>
      <c r="D141" s="14">
        <f>TIMEVALUE(VLOOKUP(A141,EData,3,0))</f>
        <v>0.20146990740740742</v>
      </c>
      <c r="E141" s="14">
        <f>TIMEVALUE(VLOOKUP(A141,BData,9,0))</f>
        <v>4.8854166666666664E-2</v>
      </c>
      <c r="F141">
        <f>VLOOKUP(A141,PData,2,0)</f>
        <v>98</v>
      </c>
      <c r="G141" s="17">
        <f>VLOOKUP(A141,EData,6,0)</f>
        <v>0.52431431936732298</v>
      </c>
    </row>
    <row r="142" spans="1:7" x14ac:dyDescent="0.25">
      <c r="A142" t="str">
        <f>Break!A142</f>
        <v>Del_Swarnlata Borse (1008652)</v>
      </c>
      <c r="B142" t="str">
        <f t="shared" si="2"/>
        <v>Swarnlata Borse</v>
      </c>
      <c r="C142" s="14">
        <f>TIMEVALUE(VLOOKUP(A142,EData,2,0))</f>
        <v>0.34658564814814818</v>
      </c>
      <c r="D142" s="14">
        <f>TIMEVALUE(VLOOKUP(A142,EData,3,0))</f>
        <v>0.12475694444444445</v>
      </c>
      <c r="E142" s="14">
        <f>TIMEVALUE(VLOOKUP(A142,BData,9,0))</f>
        <v>0.18931712962962963</v>
      </c>
      <c r="F142">
        <f>VLOOKUP(A142,PData,2,0)</f>
        <v>99</v>
      </c>
      <c r="G142" s="17">
        <f>VLOOKUP(A142,EData,6,0)</f>
        <v>0.31066956086157999</v>
      </c>
    </row>
    <row r="143" spans="1:7" x14ac:dyDescent="0.25">
      <c r="A143" t="str">
        <f>Break!A143</f>
        <v>Del_Syed Naved (1008653)</v>
      </c>
      <c r="B143" t="str">
        <f t="shared" si="2"/>
        <v>Syed Naved</v>
      </c>
      <c r="C143" s="14">
        <f>TIMEVALUE(VLOOKUP(A143,EData,2,0))</f>
        <v>0.34281249999999996</v>
      </c>
      <c r="D143" s="14">
        <f>TIMEVALUE(VLOOKUP(A143,EData,3,0))</f>
        <v>0.22505787037037037</v>
      </c>
      <c r="E143" s="14">
        <f>TIMEVALUE(VLOOKUP(A143,BData,9,0))</f>
        <v>5.1898148148148145E-2</v>
      </c>
      <c r="F143">
        <f>VLOOKUP(A143,PData,2,0)</f>
        <v>100</v>
      </c>
      <c r="G143" s="17">
        <f>VLOOKUP(A143,EData,6,0)</f>
        <v>0.58462473412336702</v>
      </c>
    </row>
    <row r="144" spans="1:7" x14ac:dyDescent="0.25">
      <c r="A144" t="str">
        <f>Break!A144</f>
        <v>Del_Syed Saqib (1008654)</v>
      </c>
      <c r="B144" t="str">
        <f t="shared" si="2"/>
        <v>Syed Saqib</v>
      </c>
      <c r="C144" s="14">
        <f>TIMEVALUE(VLOOKUP(A144,EData,2,0))</f>
        <v>0.35055555555555556</v>
      </c>
      <c r="D144" s="14">
        <f>TIMEVALUE(VLOOKUP(A144,EData,3,0))</f>
        <v>0.11953703703703704</v>
      </c>
      <c r="E144" s="14">
        <f>TIMEVALUE(VLOOKUP(A144,BData,9,0))</f>
        <v>0.21081018518518521</v>
      </c>
      <c r="F144">
        <f>VLOOKUP(A144,PData,2,0)</f>
        <v>101</v>
      </c>
      <c r="G144" s="17">
        <f>VLOOKUP(A144,EData,6,0)</f>
        <v>0.31685816164817698</v>
      </c>
    </row>
    <row r="145" spans="1:7" x14ac:dyDescent="0.25">
      <c r="A145" t="str">
        <f>Break!A145</f>
        <v>Del_Syed Sohail (1008655)</v>
      </c>
      <c r="B145" t="str">
        <f t="shared" si="2"/>
        <v>Syed Sohail</v>
      </c>
      <c r="C145" s="14">
        <f>TIMEVALUE(VLOOKUP(A145,EData,2,0))</f>
        <v>0.34575231481481478</v>
      </c>
      <c r="D145" s="14">
        <f>TIMEVALUE(VLOOKUP(A145,EData,3,0))</f>
        <v>0.20268518518518519</v>
      </c>
      <c r="E145" s="14">
        <f>TIMEVALUE(VLOOKUP(A145,BData,9,0))</f>
        <v>5.004629629629629E-2</v>
      </c>
      <c r="F145">
        <f>VLOOKUP(A145,PData,2,0)</f>
        <v>102</v>
      </c>
      <c r="G145" s="17">
        <f>VLOOKUP(A145,EData,6,0)</f>
        <v>0.56375322197301903</v>
      </c>
    </row>
    <row r="146" spans="1:7" x14ac:dyDescent="0.25">
      <c r="A146" t="str">
        <f>Break!A146</f>
        <v>Del_System Operator (1008656)</v>
      </c>
      <c r="B146" t="str">
        <f t="shared" si="2"/>
        <v>System Operator</v>
      </c>
      <c r="C146" s="14">
        <f>TIMEVALUE(VLOOKUP(A146,EData,2,0))</f>
        <v>0.35479166666666667</v>
      </c>
      <c r="D146" s="14">
        <f>TIMEVALUE(VLOOKUP(A146,EData,3,0))</f>
        <v>0.21916666666666665</v>
      </c>
      <c r="E146" s="14">
        <f>TIMEVALUE(VLOOKUP(A146,BData,9,0))</f>
        <v>3.8946759259259257E-2</v>
      </c>
      <c r="F146">
        <f>VLOOKUP(A146,PData,2,0)</f>
        <v>103</v>
      </c>
      <c r="G146" s="17">
        <f>VLOOKUP(A146,EData,6,0)</f>
        <v>0.54779147908918902</v>
      </c>
    </row>
    <row r="147" spans="1:7" x14ac:dyDescent="0.25">
      <c r="A147" t="str">
        <f>Break!A147</f>
        <v>Del_Tahira Qureshi (1008657)</v>
      </c>
      <c r="B147" t="str">
        <f t="shared" si="2"/>
        <v>Tahira Qureshi</v>
      </c>
      <c r="C147" s="14">
        <f>TIMEVALUE(VLOOKUP(A147,EData,2,0))</f>
        <v>0.36542824074074076</v>
      </c>
      <c r="D147" s="14">
        <f>TIMEVALUE(VLOOKUP(A147,EData,3,0))</f>
        <v>0.15059027777777778</v>
      </c>
      <c r="E147" s="14">
        <f>TIMEVALUE(VLOOKUP(A147,BData,9,0))</f>
        <v>0.16840277777777779</v>
      </c>
      <c r="F147">
        <f>VLOOKUP(A147,PData,2,0)</f>
        <v>104</v>
      </c>
      <c r="G147" s="17">
        <f>VLOOKUP(A147,EData,6,0)</f>
        <v>0.37965983593576802</v>
      </c>
    </row>
    <row r="148" spans="1:7" x14ac:dyDescent="0.25">
      <c r="A148" t="str">
        <f>Break!A148</f>
        <v>Del_Tapas Chakraborty (1008658)</v>
      </c>
      <c r="B148" t="str">
        <f t="shared" si="2"/>
        <v>Tapas Chakraborty</v>
      </c>
      <c r="C148" s="14">
        <f>TIMEVALUE(VLOOKUP(A148,EData,2,0))</f>
        <v>0.34370370370370368</v>
      </c>
      <c r="D148" s="14">
        <f>TIMEVALUE(VLOOKUP(A148,EData,3,0))</f>
        <v>0.21891203703703702</v>
      </c>
      <c r="E148" s="14">
        <f>TIMEVALUE(VLOOKUP(A148,BData,9,0))</f>
        <v>5.0127314814814812E-2</v>
      </c>
      <c r="F148">
        <f>VLOOKUP(A148,PData,2,0)</f>
        <v>105</v>
      </c>
      <c r="G148" s="17">
        <f>VLOOKUP(A148,EData,6,0)</f>
        <v>0.56529498922413801</v>
      </c>
    </row>
    <row r="149" spans="1:7" x14ac:dyDescent="0.25">
      <c r="A149" t="str">
        <f>Break!A149</f>
        <v>Del_Tariq Akhlaq (1008659)</v>
      </c>
      <c r="B149" t="str">
        <f t="shared" si="2"/>
        <v>Tariq Akhlaq</v>
      </c>
      <c r="C149" s="14">
        <f>TIMEVALUE(VLOOKUP(A149,EData,2,0))</f>
        <v>0.20827546296296295</v>
      </c>
      <c r="D149" s="14">
        <f>TIMEVALUE(VLOOKUP(A149,EData,3,0))</f>
        <v>0.1310300925925926</v>
      </c>
      <c r="E149" s="14">
        <f>TIMEVALUE(VLOOKUP(A149,BData,9,0))</f>
        <v>1.045138888888889E-2</v>
      </c>
      <c r="F149">
        <f>VLOOKUP(A149,PData,2,0)</f>
        <v>106</v>
      </c>
      <c r="G149" s="17">
        <f>VLOOKUP(A149,EData,6,0)</f>
        <v>0.60261183662128404</v>
      </c>
    </row>
    <row r="150" spans="1:7" x14ac:dyDescent="0.25">
      <c r="A150" t="str">
        <f>Break!A150</f>
        <v>Del_Tasneem Khan (1008660)</v>
      </c>
      <c r="B150" t="str">
        <f t="shared" si="2"/>
        <v>Tasneem Khan</v>
      </c>
      <c r="C150" s="14">
        <f>TIMEVALUE(VLOOKUP(A150,EData,2,0))</f>
        <v>0.35688657407407409</v>
      </c>
      <c r="D150" s="14">
        <f>TIMEVALUE(VLOOKUP(A150,EData,3,0))</f>
        <v>0.19362268518518519</v>
      </c>
      <c r="E150" s="14">
        <f>TIMEVALUE(VLOOKUP(A150,BData,9,0))</f>
        <v>9.5034722222222215E-2</v>
      </c>
      <c r="F150">
        <f>VLOOKUP(A150,PData,2,0)</f>
        <v>107</v>
      </c>
      <c r="G150" s="17">
        <f>VLOOKUP(A150,EData,6,0)</f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43791-1895-408A-81D9-DD60DB735F23}">
  <sheetPr codeName="Sheet5"/>
  <dimension ref="A1:K145"/>
  <sheetViews>
    <sheetView tabSelected="1" workbookViewId="0">
      <selection activeCell="J8" sqref="J8"/>
    </sheetView>
  </sheetViews>
  <sheetFormatPr defaultRowHeight="15" x14ac:dyDescent="0.25"/>
  <cols>
    <col min="1" max="1" width="14.28515625" bestFit="1" customWidth="1"/>
    <col min="2" max="2" width="35.42578125" bestFit="1" customWidth="1"/>
    <col min="3" max="3" width="9" customWidth="1"/>
    <col min="4" max="4" width="9.140625" hidden="1" customWidth="1"/>
    <col min="5" max="5" width="14.28515625" bestFit="1" customWidth="1"/>
    <col min="6" max="6" width="35.42578125" style="17" customWidth="1"/>
  </cols>
  <sheetData>
    <row r="1" spans="1:11" x14ac:dyDescent="0.25">
      <c r="A1" s="23"/>
      <c r="B1" s="23"/>
      <c r="C1" s="25">
        <v>8</v>
      </c>
      <c r="E1" s="23"/>
      <c r="F1" s="23"/>
      <c r="G1" s="24"/>
      <c r="H1" s="24"/>
      <c r="I1" s="24"/>
      <c r="J1" s="24"/>
      <c r="K1" s="24"/>
    </row>
    <row r="2" spans="1:11" x14ac:dyDescent="0.25">
      <c r="A2" s="23"/>
      <c r="B2" s="23"/>
      <c r="C2" s="25">
        <v>9</v>
      </c>
      <c r="E2" s="23"/>
      <c r="F2" s="23"/>
      <c r="G2" s="24"/>
      <c r="H2" s="24"/>
      <c r="I2" s="24"/>
      <c r="J2" s="24"/>
      <c r="K2" s="24"/>
    </row>
    <row r="3" spans="1:11" ht="21" customHeight="1" x14ac:dyDescent="0.25">
      <c r="A3" s="21" t="s">
        <v>1017</v>
      </c>
      <c r="B3" s="22"/>
      <c r="C3" s="24"/>
      <c r="E3" s="21" t="s">
        <v>1017</v>
      </c>
      <c r="F3" s="22"/>
      <c r="G3" s="24"/>
      <c r="H3" s="24"/>
      <c r="I3" s="24"/>
      <c r="J3" s="24"/>
      <c r="K3" s="24"/>
    </row>
    <row r="4" spans="1:11" x14ac:dyDescent="0.25">
      <c r="A4" s="18" t="s">
        <v>1003</v>
      </c>
      <c r="B4" t="s">
        <v>1016</v>
      </c>
      <c r="C4" s="24"/>
      <c r="E4" s="18" t="s">
        <v>1003</v>
      </c>
      <c r="F4" t="s">
        <v>1018</v>
      </c>
      <c r="G4" s="24"/>
      <c r="H4" s="24"/>
      <c r="I4" s="24"/>
      <c r="J4" s="24"/>
      <c r="K4" s="24"/>
    </row>
    <row r="5" spans="1:11" x14ac:dyDescent="0.25">
      <c r="A5" s="19" t="s">
        <v>1005</v>
      </c>
      <c r="B5" s="14">
        <v>0.38646990740740739</v>
      </c>
      <c r="C5" s="24"/>
      <c r="E5" s="19" t="s">
        <v>1004</v>
      </c>
      <c r="F5" s="20">
        <v>0.65495030262646503</v>
      </c>
      <c r="G5" s="24"/>
      <c r="H5" s="24"/>
      <c r="I5" s="24"/>
      <c r="J5" s="24"/>
      <c r="K5" s="24"/>
    </row>
    <row r="6" spans="1:11" x14ac:dyDescent="0.25">
      <c r="A6" s="19" t="s">
        <v>1006</v>
      </c>
      <c r="B6" s="14">
        <v>1.3668402777777777</v>
      </c>
      <c r="C6" s="24"/>
      <c r="E6" s="19" t="s">
        <v>1006</v>
      </c>
      <c r="F6" s="20">
        <v>2.0905948641136138</v>
      </c>
      <c r="G6" s="24"/>
      <c r="H6" s="24"/>
      <c r="I6" s="24"/>
      <c r="J6" s="24"/>
      <c r="K6" s="24"/>
    </row>
    <row r="7" spans="1:11" x14ac:dyDescent="0.25">
      <c r="A7" s="19" t="s">
        <v>1010</v>
      </c>
      <c r="B7" s="14">
        <v>0.66396990740740736</v>
      </c>
      <c r="C7" s="24"/>
      <c r="E7" s="19" t="s">
        <v>1007</v>
      </c>
      <c r="F7" s="20">
        <v>0.65029060203969702</v>
      </c>
      <c r="G7" s="24"/>
      <c r="H7" s="24"/>
      <c r="I7" s="24"/>
      <c r="J7" s="24"/>
      <c r="K7" s="24"/>
    </row>
    <row r="8" spans="1:11" x14ac:dyDescent="0.25">
      <c r="A8" s="19" t="s">
        <v>1011</v>
      </c>
      <c r="B8" s="14">
        <v>0.67937500000000006</v>
      </c>
      <c r="C8" s="24"/>
      <c r="E8" s="19" t="s">
        <v>1008</v>
      </c>
      <c r="F8" s="20">
        <v>0.64380836602751801</v>
      </c>
      <c r="G8" s="24"/>
      <c r="H8" s="24"/>
      <c r="I8" s="24"/>
      <c r="J8" s="24"/>
      <c r="K8" s="24"/>
    </row>
    <row r="9" spans="1:11" x14ac:dyDescent="0.25">
      <c r="A9" s="19" t="s">
        <v>1012</v>
      </c>
      <c r="B9" s="14">
        <v>1.0142939814814815</v>
      </c>
      <c r="C9" s="24"/>
      <c r="E9" s="19" t="s">
        <v>1009</v>
      </c>
      <c r="F9" s="20">
        <v>0.64717479317021698</v>
      </c>
      <c r="G9" s="24"/>
      <c r="H9" s="24"/>
      <c r="I9" s="24"/>
      <c r="J9" s="24"/>
      <c r="K9" s="24"/>
    </row>
    <row r="10" spans="1:11" x14ac:dyDescent="0.25">
      <c r="A10" s="19" t="s">
        <v>1013</v>
      </c>
      <c r="B10" s="14">
        <v>0.36775462962962963</v>
      </c>
      <c r="C10" s="24"/>
      <c r="E10" s="19" t="s">
        <v>1010</v>
      </c>
      <c r="F10" s="20">
        <v>1.064298009533315</v>
      </c>
      <c r="G10" s="24"/>
      <c r="H10" s="24"/>
      <c r="I10" s="24"/>
      <c r="J10" s="24"/>
      <c r="K10" s="24"/>
    </row>
    <row r="11" spans="1:11" x14ac:dyDescent="0.25">
      <c r="A11" s="19" t="s">
        <v>1014</v>
      </c>
      <c r="B11" s="14">
        <v>0.67259259259259263</v>
      </c>
      <c r="C11" s="24"/>
      <c r="E11" s="19" t="s">
        <v>1011</v>
      </c>
      <c r="F11" s="20">
        <v>1.122824596941316</v>
      </c>
      <c r="G11" s="24"/>
      <c r="H11" s="24"/>
      <c r="I11" s="24"/>
      <c r="J11" s="24"/>
      <c r="K11" s="24"/>
    </row>
    <row r="12" spans="1:11" x14ac:dyDescent="0.25">
      <c r="A12" s="19" t="s">
        <v>1015</v>
      </c>
      <c r="B12" s="14">
        <v>0.36542824074074076</v>
      </c>
      <c r="C12" s="24"/>
      <c r="E12" s="19" t="s">
        <v>1012</v>
      </c>
      <c r="F12" s="20">
        <v>1.7236731368386569</v>
      </c>
      <c r="G12" s="24"/>
      <c r="H12" s="24"/>
      <c r="I12" s="24"/>
      <c r="J12" s="24"/>
      <c r="K12" s="24"/>
    </row>
    <row r="13" spans="1:11" x14ac:dyDescent="0.25">
      <c r="C13" s="24"/>
      <c r="E13" s="19" t="s">
        <v>1014</v>
      </c>
      <c r="F13" s="20">
        <v>0.80510133036211395</v>
      </c>
      <c r="G13" s="24"/>
      <c r="H13" s="24"/>
      <c r="I13" s="24"/>
      <c r="J13" s="24"/>
      <c r="K13" s="24"/>
    </row>
    <row r="14" spans="1:11" x14ac:dyDescent="0.25">
      <c r="C14" s="24"/>
      <c r="F14"/>
      <c r="G14" s="24"/>
      <c r="H14" s="24"/>
      <c r="I14" s="24"/>
      <c r="J14" s="24"/>
      <c r="K14" s="24"/>
    </row>
    <row r="15" spans="1:11" x14ac:dyDescent="0.25">
      <c r="C15" s="24"/>
      <c r="F15"/>
      <c r="G15" s="24"/>
      <c r="H15" s="24"/>
      <c r="I15" s="24"/>
      <c r="J15" s="24"/>
      <c r="K15" s="24"/>
    </row>
    <row r="16" spans="1:11" x14ac:dyDescent="0.25">
      <c r="C16" s="24"/>
      <c r="F16"/>
      <c r="G16" s="24"/>
      <c r="H16" s="24"/>
      <c r="I16" s="24"/>
      <c r="J16" s="24"/>
      <c r="K16" s="24"/>
    </row>
    <row r="17" spans="1:11" x14ac:dyDescent="0.25">
      <c r="C17" s="24"/>
      <c r="F17"/>
      <c r="G17" s="24"/>
      <c r="H17" s="24"/>
      <c r="I17" s="24"/>
      <c r="J17" s="24"/>
      <c r="K17" s="24"/>
    </row>
    <row r="18" spans="1:11" x14ac:dyDescent="0.25">
      <c r="C18" s="24"/>
      <c r="F18"/>
      <c r="G18" s="24"/>
      <c r="H18" s="24"/>
      <c r="I18" s="24"/>
      <c r="J18" s="24"/>
      <c r="K18" s="24"/>
    </row>
    <row r="19" spans="1:11" x14ac:dyDescent="0.25">
      <c r="C19" s="24"/>
      <c r="F19"/>
      <c r="G19" s="24"/>
      <c r="H19" s="24"/>
      <c r="I19" s="24"/>
      <c r="J19" s="24"/>
      <c r="K19" s="24"/>
    </row>
    <row r="20" spans="1:11" x14ac:dyDescent="0.25">
      <c r="C20" s="24"/>
      <c r="F20"/>
      <c r="G20" s="24"/>
      <c r="H20" s="24"/>
      <c r="I20" s="24"/>
      <c r="J20" s="24"/>
      <c r="K20" s="24"/>
    </row>
    <row r="21" spans="1:11" x14ac:dyDescent="0.25">
      <c r="C21" s="24"/>
      <c r="F21"/>
      <c r="G21" s="24"/>
      <c r="H21" s="24"/>
      <c r="I21" s="24"/>
      <c r="J21" s="24"/>
      <c r="K21" s="24"/>
    </row>
    <row r="22" spans="1:11" x14ac:dyDescent="0.25">
      <c r="C22" s="24"/>
      <c r="F22"/>
      <c r="G22" s="24"/>
      <c r="H22" s="24"/>
      <c r="I22" s="24"/>
      <c r="J22" s="24"/>
      <c r="K22" s="24"/>
    </row>
    <row r="23" spans="1:11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</row>
    <row r="24" spans="1:11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</row>
    <row r="25" spans="1:11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</row>
    <row r="26" spans="1:11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</row>
    <row r="27" spans="1:11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</row>
    <row r="28" spans="1:11" x14ac:dyDescent="0.25">
      <c r="F28"/>
    </row>
    <row r="29" spans="1:11" x14ac:dyDescent="0.25">
      <c r="F29"/>
    </row>
    <row r="30" spans="1:11" x14ac:dyDescent="0.25">
      <c r="F30"/>
    </row>
    <row r="31" spans="1:11" x14ac:dyDescent="0.25">
      <c r="F31"/>
    </row>
    <row r="32" spans="1:11" x14ac:dyDescent="0.25">
      <c r="F32"/>
    </row>
    <row r="33" spans="6:6" x14ac:dyDescent="0.25">
      <c r="F33"/>
    </row>
    <row r="34" spans="6:6" x14ac:dyDescent="0.25">
      <c r="F34"/>
    </row>
    <row r="35" spans="6:6" x14ac:dyDescent="0.25">
      <c r="F35"/>
    </row>
    <row r="36" spans="6:6" x14ac:dyDescent="0.25">
      <c r="F36"/>
    </row>
    <row r="37" spans="6:6" x14ac:dyDescent="0.25">
      <c r="F37"/>
    </row>
    <row r="38" spans="6:6" x14ac:dyDescent="0.25">
      <c r="F38"/>
    </row>
    <row r="39" spans="6:6" x14ac:dyDescent="0.25">
      <c r="F39"/>
    </row>
    <row r="40" spans="6:6" x14ac:dyDescent="0.25">
      <c r="F40"/>
    </row>
    <row r="41" spans="6:6" x14ac:dyDescent="0.25">
      <c r="F41"/>
    </row>
    <row r="42" spans="6:6" x14ac:dyDescent="0.25">
      <c r="F42"/>
    </row>
    <row r="43" spans="6:6" x14ac:dyDescent="0.25">
      <c r="F43"/>
    </row>
    <row r="44" spans="6:6" x14ac:dyDescent="0.25">
      <c r="F44"/>
    </row>
    <row r="45" spans="6:6" x14ac:dyDescent="0.25">
      <c r="F45"/>
    </row>
    <row r="46" spans="6:6" x14ac:dyDescent="0.25">
      <c r="F46"/>
    </row>
    <row r="47" spans="6:6" x14ac:dyDescent="0.25">
      <c r="F47"/>
    </row>
    <row r="48" spans="6:6" x14ac:dyDescent="0.25">
      <c r="F48"/>
    </row>
    <row r="49" spans="6:6" x14ac:dyDescent="0.25">
      <c r="F49"/>
    </row>
    <row r="50" spans="6:6" x14ac:dyDescent="0.25">
      <c r="F50"/>
    </row>
    <row r="51" spans="6:6" x14ac:dyDescent="0.25">
      <c r="F51"/>
    </row>
    <row r="52" spans="6:6" x14ac:dyDescent="0.25">
      <c r="F52"/>
    </row>
    <row r="53" spans="6:6" x14ac:dyDescent="0.25">
      <c r="F53"/>
    </row>
    <row r="54" spans="6:6" x14ac:dyDescent="0.25">
      <c r="F54"/>
    </row>
    <row r="55" spans="6:6" x14ac:dyDescent="0.25">
      <c r="F55"/>
    </row>
    <row r="56" spans="6:6" x14ac:dyDescent="0.25">
      <c r="F56"/>
    </row>
    <row r="57" spans="6:6" x14ac:dyDescent="0.25">
      <c r="F57"/>
    </row>
    <row r="58" spans="6:6" x14ac:dyDescent="0.25">
      <c r="F58"/>
    </row>
    <row r="59" spans="6:6" x14ac:dyDescent="0.25">
      <c r="F59"/>
    </row>
    <row r="60" spans="6:6" x14ac:dyDescent="0.25">
      <c r="F60"/>
    </row>
    <row r="61" spans="6:6" x14ac:dyDescent="0.25">
      <c r="F61"/>
    </row>
    <row r="62" spans="6:6" x14ac:dyDescent="0.25">
      <c r="F62"/>
    </row>
    <row r="63" spans="6:6" x14ac:dyDescent="0.25">
      <c r="F63"/>
    </row>
    <row r="64" spans="6:6" x14ac:dyDescent="0.25">
      <c r="F64"/>
    </row>
    <row r="65" spans="6:6" x14ac:dyDescent="0.25">
      <c r="F65"/>
    </row>
    <row r="66" spans="6:6" x14ac:dyDescent="0.25">
      <c r="F66"/>
    </row>
    <row r="67" spans="6:6" x14ac:dyDescent="0.25">
      <c r="F67"/>
    </row>
    <row r="68" spans="6:6" x14ac:dyDescent="0.25">
      <c r="F68"/>
    </row>
    <row r="69" spans="6:6" x14ac:dyDescent="0.25">
      <c r="F69"/>
    </row>
    <row r="70" spans="6:6" x14ac:dyDescent="0.25">
      <c r="F70"/>
    </row>
    <row r="71" spans="6:6" x14ac:dyDescent="0.25">
      <c r="F71"/>
    </row>
    <row r="72" spans="6:6" x14ac:dyDescent="0.25">
      <c r="F72"/>
    </row>
    <row r="73" spans="6:6" x14ac:dyDescent="0.25">
      <c r="F73"/>
    </row>
    <row r="74" spans="6:6" x14ac:dyDescent="0.25">
      <c r="F74"/>
    </row>
    <row r="75" spans="6:6" x14ac:dyDescent="0.25">
      <c r="F75"/>
    </row>
    <row r="76" spans="6:6" x14ac:dyDescent="0.25">
      <c r="F76"/>
    </row>
    <row r="77" spans="6:6" x14ac:dyDescent="0.25">
      <c r="F77"/>
    </row>
    <row r="78" spans="6:6" x14ac:dyDescent="0.25">
      <c r="F78"/>
    </row>
    <row r="79" spans="6:6" x14ac:dyDescent="0.25">
      <c r="F79"/>
    </row>
    <row r="80" spans="6:6" x14ac:dyDescent="0.25">
      <c r="F80"/>
    </row>
    <row r="81" spans="6:6" x14ac:dyDescent="0.25">
      <c r="F81"/>
    </row>
    <row r="82" spans="6:6" x14ac:dyDescent="0.25">
      <c r="F82"/>
    </row>
    <row r="83" spans="6:6" x14ac:dyDescent="0.25">
      <c r="F83"/>
    </row>
    <row r="84" spans="6:6" x14ac:dyDescent="0.25">
      <c r="F84"/>
    </row>
    <row r="85" spans="6:6" x14ac:dyDescent="0.25">
      <c r="F85"/>
    </row>
    <row r="86" spans="6:6" x14ac:dyDescent="0.25">
      <c r="F86"/>
    </row>
    <row r="87" spans="6:6" x14ac:dyDescent="0.25">
      <c r="F87"/>
    </row>
    <row r="88" spans="6:6" x14ac:dyDescent="0.25">
      <c r="F88"/>
    </row>
    <row r="89" spans="6:6" x14ac:dyDescent="0.25">
      <c r="F89"/>
    </row>
    <row r="90" spans="6:6" x14ac:dyDescent="0.25">
      <c r="F90"/>
    </row>
    <row r="91" spans="6:6" x14ac:dyDescent="0.25">
      <c r="F91"/>
    </row>
    <row r="92" spans="6:6" x14ac:dyDescent="0.25">
      <c r="F92"/>
    </row>
    <row r="93" spans="6:6" x14ac:dyDescent="0.25">
      <c r="F93"/>
    </row>
    <row r="94" spans="6:6" x14ac:dyDescent="0.25">
      <c r="F94"/>
    </row>
    <row r="95" spans="6:6" x14ac:dyDescent="0.25">
      <c r="F95"/>
    </row>
    <row r="96" spans="6:6" x14ac:dyDescent="0.25">
      <c r="F96"/>
    </row>
    <row r="97" spans="6:6" x14ac:dyDescent="0.25">
      <c r="F97"/>
    </row>
    <row r="98" spans="6:6" x14ac:dyDescent="0.25">
      <c r="F98"/>
    </row>
    <row r="99" spans="6:6" x14ac:dyDescent="0.25">
      <c r="F99"/>
    </row>
    <row r="100" spans="6:6" x14ac:dyDescent="0.25">
      <c r="F100"/>
    </row>
    <row r="101" spans="6:6" x14ac:dyDescent="0.25">
      <c r="F101"/>
    </row>
    <row r="102" spans="6:6" x14ac:dyDescent="0.25">
      <c r="F102"/>
    </row>
    <row r="103" spans="6:6" x14ac:dyDescent="0.25">
      <c r="F103"/>
    </row>
    <row r="104" spans="6:6" x14ac:dyDescent="0.25">
      <c r="F104"/>
    </row>
    <row r="105" spans="6:6" x14ac:dyDescent="0.25">
      <c r="F105"/>
    </row>
    <row r="106" spans="6:6" x14ac:dyDescent="0.25">
      <c r="F106"/>
    </row>
    <row r="107" spans="6:6" x14ac:dyDescent="0.25">
      <c r="F107"/>
    </row>
    <row r="108" spans="6:6" x14ac:dyDescent="0.25">
      <c r="F108"/>
    </row>
    <row r="109" spans="6:6" x14ac:dyDescent="0.25">
      <c r="F109"/>
    </row>
    <row r="110" spans="6:6" x14ac:dyDescent="0.25">
      <c r="F110"/>
    </row>
    <row r="111" spans="6:6" x14ac:dyDescent="0.25">
      <c r="F111"/>
    </row>
    <row r="112" spans="6:6" x14ac:dyDescent="0.25">
      <c r="F112"/>
    </row>
    <row r="113" spans="6:6" x14ac:dyDescent="0.25">
      <c r="F113"/>
    </row>
    <row r="114" spans="6:6" x14ac:dyDescent="0.25">
      <c r="F114"/>
    </row>
    <row r="115" spans="6:6" x14ac:dyDescent="0.25">
      <c r="F115"/>
    </row>
    <row r="116" spans="6:6" x14ac:dyDescent="0.25">
      <c r="F116"/>
    </row>
    <row r="117" spans="6:6" x14ac:dyDescent="0.25">
      <c r="F117"/>
    </row>
    <row r="118" spans="6:6" x14ac:dyDescent="0.25">
      <c r="F118"/>
    </row>
    <row r="119" spans="6:6" x14ac:dyDescent="0.25">
      <c r="F119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/>
    </row>
    <row r="129" spans="6:6" x14ac:dyDescent="0.25">
      <c r="F129"/>
    </row>
    <row r="130" spans="6:6" x14ac:dyDescent="0.25">
      <c r="F130"/>
    </row>
    <row r="131" spans="6:6" x14ac:dyDescent="0.25">
      <c r="F131"/>
    </row>
    <row r="132" spans="6:6" x14ac:dyDescent="0.25">
      <c r="F132"/>
    </row>
    <row r="133" spans="6:6" x14ac:dyDescent="0.25">
      <c r="F133"/>
    </row>
    <row r="134" spans="6:6" x14ac:dyDescent="0.25">
      <c r="F134"/>
    </row>
    <row r="135" spans="6:6" x14ac:dyDescent="0.25">
      <c r="F135"/>
    </row>
    <row r="136" spans="6:6" x14ac:dyDescent="0.25">
      <c r="F136"/>
    </row>
    <row r="137" spans="6:6" x14ac:dyDescent="0.25">
      <c r="F137"/>
    </row>
    <row r="138" spans="6:6" x14ac:dyDescent="0.25">
      <c r="F138"/>
    </row>
    <row r="139" spans="6:6" x14ac:dyDescent="0.25">
      <c r="F139"/>
    </row>
    <row r="140" spans="6:6" x14ac:dyDescent="0.25">
      <c r="F140"/>
    </row>
    <row r="141" spans="6:6" x14ac:dyDescent="0.25">
      <c r="F141"/>
    </row>
    <row r="142" spans="6:6" x14ac:dyDescent="0.25">
      <c r="F142"/>
    </row>
    <row r="143" spans="6:6" x14ac:dyDescent="0.25">
      <c r="F143"/>
    </row>
    <row r="144" spans="6:6" x14ac:dyDescent="0.25">
      <c r="F144"/>
    </row>
    <row r="145" spans="6:6" x14ac:dyDescent="0.25">
      <c r="F145"/>
    </row>
  </sheetData>
  <mergeCells count="4">
    <mergeCell ref="A3:B3"/>
    <mergeCell ref="A1:B2"/>
    <mergeCell ref="E1:F2"/>
    <mergeCell ref="E3:F3"/>
  </mergeCell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638175</xdr:colOff>
                    <xdr:row>0</xdr:row>
                    <xdr:rowOff>66675</xdr:rowOff>
                  </from>
                  <to>
                    <xdr:col>1</xdr:col>
                    <xdr:colOff>828675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7" name="Spinner 2">
              <controlPr defaultSize="0" autoPict="0" macro="[0]!Spinner2_Code">
                <anchor moveWithCells="1" sizeWithCells="1">
                  <from>
                    <xdr:col>5</xdr:col>
                    <xdr:colOff>628650</xdr:colOff>
                    <xdr:row>0</xdr:row>
                    <xdr:rowOff>66675</xdr:rowOff>
                  </from>
                  <to>
                    <xdr:col>5</xdr:col>
                    <xdr:colOff>819150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Devolix.co</dc:creator>
  <cp:lastModifiedBy>Devolix.co</cp:lastModifiedBy>
  <dcterms:created xsi:type="dcterms:W3CDTF">2025-07-12T16:35:51Z</dcterms:created>
  <dcterms:modified xsi:type="dcterms:W3CDTF">2025-07-12T20:30:32Z</dcterms:modified>
</cp:coreProperties>
</file>